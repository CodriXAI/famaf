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EK" sheetId="1" r:id="rId5"/>
    <sheet state="visible" name="Ejercicio 1.1" sheetId="2" r:id="rId6"/>
    <sheet state="visible" name="Ejercicio 1.2" sheetId="3" r:id="rId7"/>
    <sheet state="visible" name="Ejercicio 1.3" sheetId="4" r:id="rId8"/>
    <sheet state="visible" name="Ejercicio 1.4" sheetId="5" r:id="rId9"/>
    <sheet state="visible" name="Ejercicio 1.5 - MAL" sheetId="6" r:id="rId10"/>
    <sheet state="visible" name="Ejercicio 1.5" sheetId="7" r:id="rId11"/>
    <sheet state="visible" name="Ejercicio 1.6" sheetId="8" r:id="rId12"/>
    <sheet state="visible" name="Ejercicio 1.7" sheetId="9" r:id="rId13"/>
  </sheets>
  <definedNames/>
  <calcPr/>
</workbook>
</file>

<file path=xl/sharedStrings.xml><?xml version="1.0" encoding="utf-8"?>
<sst xmlns="http://schemas.openxmlformats.org/spreadsheetml/2006/main" count="1415" uniqueCount="387">
  <si>
    <t>CAMINOS AUMENTANTES</t>
  </si>
  <si>
    <t>CAPACIDAD MÁXIMA</t>
  </si>
  <si>
    <t>CAPACIDAD RESIDUAL</t>
  </si>
  <si>
    <t>BFS VERTEX QUEUE</t>
  </si>
  <si>
    <t>MIN CUT VERIFICATION (S)</t>
  </si>
  <si>
    <t>CORTE S DESCUBIERTO</t>
  </si>
  <si>
    <t>LADOS</t>
  </si>
  <si>
    <t>SUMA</t>
  </si>
  <si>
    <r>
      <rPr>
        <rFont val="Arial"/>
        <b/>
        <color rgb="FFFF00FF"/>
        <sz val="14.0"/>
      </rPr>
      <t>s</t>
    </r>
    <r>
      <rPr>
        <rFont val="Arial"/>
        <b/>
        <color theme="1"/>
        <sz val="14.0"/>
      </rPr>
      <t>ab</t>
    </r>
    <r>
      <rPr>
        <rFont val="Arial"/>
        <b/>
        <color rgb="FFFF00FF"/>
        <sz val="14.0"/>
      </rPr>
      <t>t</t>
    </r>
    <r>
      <rPr>
        <rFont val="Arial"/>
        <b/>
        <color theme="1"/>
        <sz val="14.0"/>
      </rPr>
      <t>:20</t>
    </r>
  </si>
  <si>
    <t>sa:20</t>
  </si>
  <si>
    <t>hj:5</t>
  </si>
  <si>
    <t>sa:0</t>
  </si>
  <si>
    <r>
      <rPr>
        <rFont val="Arial"/>
        <b/>
        <color rgb="FF4A86E8"/>
        <sz val="14.0"/>
      </rPr>
      <t>s</t>
    </r>
    <r>
      <rPr>
        <rFont val="Arial"/>
        <b/>
        <color theme="1"/>
        <sz val="14.0"/>
      </rPr>
      <t>ef</t>
    </r>
    <r>
      <rPr>
        <rFont val="Arial"/>
        <b/>
        <color rgb="FF4A86E8"/>
        <sz val="14.0"/>
      </rPr>
      <t>t</t>
    </r>
    <r>
      <rPr>
        <rFont val="Arial"/>
        <b/>
        <color theme="1"/>
        <sz val="14.0"/>
      </rPr>
      <t>:10</t>
    </r>
  </si>
  <si>
    <t>se:10</t>
  </si>
  <si>
    <t>hn:8</t>
  </si>
  <si>
    <t>se:0</t>
  </si>
  <si>
    <t>hn:0</t>
  </si>
  <si>
    <t>s</t>
  </si>
  <si>
    <t>a</t>
  </si>
  <si>
    <t>e</t>
  </si>
  <si>
    <t>g</t>
  </si>
  <si>
    <t>j</t>
  </si>
  <si>
    <t>b</t>
  </si>
  <si>
    <t>h</t>
  </si>
  <si>
    <t>f</t>
  </si>
  <si>
    <t>k</t>
  </si>
  <si>
    <t>m</t>
  </si>
  <si>
    <t>q</t>
  </si>
  <si>
    <t>t</t>
  </si>
  <si>
    <r>
      <rPr>
        <rFont val="Arial"/>
        <b/>
        <color rgb="FFB45F06"/>
        <sz val="14.0"/>
      </rPr>
      <t>s</t>
    </r>
    <r>
      <rPr>
        <rFont val="Arial"/>
        <b/>
        <color rgb="FF000000"/>
        <sz val="14.0"/>
      </rPr>
      <t>gk</t>
    </r>
    <r>
      <rPr>
        <rFont val="Arial"/>
        <b/>
        <color rgb="FFB45F06"/>
        <sz val="14.0"/>
      </rPr>
      <t>t</t>
    </r>
    <r>
      <rPr>
        <rFont val="Arial"/>
        <b/>
        <color rgb="FF000000"/>
        <sz val="14.0"/>
      </rPr>
      <t>:10</t>
    </r>
  </si>
  <si>
    <t>sg:10</t>
  </si>
  <si>
    <t>if:5</t>
  </si>
  <si>
    <t>sg:0</t>
  </si>
  <si>
    <t>if:2</t>
  </si>
  <si>
    <t>-</t>
  </si>
  <si>
    <r>
      <rPr>
        <rFont val="Arial"/>
        <b/>
        <color rgb="FF00FF00"/>
        <sz val="14.0"/>
      </rPr>
      <t>s</t>
    </r>
    <r>
      <rPr>
        <rFont val="Arial"/>
        <b/>
        <color theme="1"/>
        <sz val="14.0"/>
      </rPr>
      <t>jqb⁻ahncdimp</t>
    </r>
    <r>
      <rPr>
        <rFont val="Arial"/>
        <b/>
        <color rgb="FF00FF00"/>
        <sz val="14.0"/>
      </rPr>
      <t>t</t>
    </r>
    <r>
      <rPr>
        <rFont val="Arial"/>
        <b/>
        <color theme="1"/>
        <sz val="14.0"/>
      </rPr>
      <t>:5</t>
    </r>
  </si>
  <si>
    <t>sj:10</t>
  </si>
  <si>
    <t>im:5</t>
  </si>
  <si>
    <t>sj:2</t>
  </si>
  <si>
    <t>im:0</t>
  </si>
  <si>
    <r>
      <rPr>
        <rFont val="Arial"/>
        <b/>
        <color rgb="FF674EA7"/>
        <sz val="14.0"/>
      </rPr>
      <t>s</t>
    </r>
    <r>
      <rPr>
        <rFont val="Arial"/>
        <b/>
        <color theme="1"/>
        <sz val="14.0"/>
      </rPr>
      <t>jqb⁻ahncdif⁻ek⁻gmp</t>
    </r>
    <r>
      <rPr>
        <rFont val="Arial"/>
        <b/>
        <color rgb="FF674EA7"/>
        <sz val="14.0"/>
      </rPr>
      <t>t</t>
    </r>
    <r>
      <rPr>
        <rFont val="Arial"/>
        <b/>
        <color theme="1"/>
        <sz val="14.0"/>
      </rPr>
      <t>:3</t>
    </r>
  </si>
  <si>
    <t>ab:20</t>
  </si>
  <si>
    <t>jq:10</t>
  </si>
  <si>
    <t>ab:8</t>
  </si>
  <si>
    <t>jq:2</t>
  </si>
  <si>
    <t>ah:10</t>
  </si>
  <si>
    <t>kt:10</t>
  </si>
  <si>
    <t>ah:2</t>
  </si>
  <si>
    <t>kt:0</t>
  </si>
  <si>
    <t>bt:20</t>
  </si>
  <si>
    <t>qb:10</t>
  </si>
  <si>
    <t>bt:0</t>
  </si>
  <si>
    <t>qb:2</t>
  </si>
  <si>
    <t>cd:30</t>
  </si>
  <si>
    <t>mp:10</t>
  </si>
  <si>
    <t>cd:22</t>
  </si>
  <si>
    <t>mp:2</t>
  </si>
  <si>
    <t>V(F):</t>
  </si>
  <si>
    <t>di:10</t>
  </si>
  <si>
    <t>nc:10</t>
  </si>
  <si>
    <t>di:2</t>
  </si>
  <si>
    <t>nc:2</t>
  </si>
  <si>
    <t>ef:10</t>
  </si>
  <si>
    <t>pt:10</t>
  </si>
  <si>
    <t>ef:3</t>
  </si>
  <si>
    <t>pt:2</t>
  </si>
  <si>
    <t>ek:5</t>
  </si>
  <si>
    <t>ek:2</t>
  </si>
  <si>
    <t>ft:10</t>
  </si>
  <si>
    <t>ft:0</t>
  </si>
  <si>
    <t>gk:10</t>
  </si>
  <si>
    <t>gk:3</t>
  </si>
  <si>
    <t>gm:5</t>
  </si>
  <si>
    <t>gm:2</t>
  </si>
  <si>
    <t>n</t>
  </si>
  <si>
    <t>c</t>
  </si>
  <si>
    <t>d</t>
  </si>
  <si>
    <t>i</t>
  </si>
  <si>
    <t>p</t>
  </si>
  <si>
    <t>b⁻</t>
  </si>
  <si>
    <t>se+sg+bt+hn</t>
  </si>
  <si>
    <t>S = {s,j,q,b,a,h}</t>
  </si>
  <si>
    <t>f⁻</t>
  </si>
  <si>
    <t>k⁻</t>
  </si>
  <si>
    <t>FIN DEL ALGORITMO</t>
  </si>
  <si>
    <t>FLUJO MAXIMAL</t>
  </si>
  <si>
    <r>
      <rPr>
        <rFont val="Arial"/>
        <b/>
        <color rgb="FFA64D79"/>
        <sz val="14.0"/>
      </rPr>
      <t>s</t>
    </r>
    <r>
      <rPr>
        <rFont val="Arial"/>
        <b/>
        <color theme="1"/>
        <sz val="14.0"/>
      </rPr>
      <t>AB</t>
    </r>
    <r>
      <rPr>
        <rFont val="Arial"/>
        <b/>
        <color rgb="FFA64D79"/>
        <sz val="14.0"/>
      </rPr>
      <t>t</t>
    </r>
    <r>
      <rPr>
        <rFont val="Arial"/>
        <b/>
        <color theme="1"/>
        <sz val="14.0"/>
      </rPr>
      <t>:10</t>
    </r>
  </si>
  <si>
    <t>sA : 10</t>
  </si>
  <si>
    <t>HI : 63</t>
  </si>
  <si>
    <t>sA : 0</t>
  </si>
  <si>
    <t>HI : 46</t>
  </si>
  <si>
    <r>
      <rPr>
        <rFont val="Arial"/>
        <b/>
        <color rgb="FF3D85C6"/>
        <sz val="14.0"/>
      </rPr>
      <t>s</t>
    </r>
    <r>
      <rPr>
        <rFont val="Arial"/>
        <b/>
        <color theme="1"/>
        <sz val="14.0"/>
      </rPr>
      <t>CLMNOPQ</t>
    </r>
    <r>
      <rPr>
        <rFont val="Arial"/>
        <b/>
        <color rgb="FF3C78D8"/>
        <sz val="14.0"/>
      </rPr>
      <t>t</t>
    </r>
    <r>
      <rPr>
        <rFont val="Arial"/>
        <b/>
        <color theme="1"/>
        <sz val="14.0"/>
      </rPr>
      <t>:10</t>
    </r>
  </si>
  <si>
    <t>sC : 10</t>
  </si>
  <si>
    <t>IJ : 62</t>
  </si>
  <si>
    <t>sC : 0</t>
  </si>
  <si>
    <t>IJ : 45</t>
  </si>
  <si>
    <t>A</t>
  </si>
  <si>
    <t>C</t>
  </si>
  <si>
    <t>G</t>
  </si>
  <si>
    <t>B</t>
  </si>
  <si>
    <t>E</t>
  </si>
  <si>
    <t>R</t>
  </si>
  <si>
    <t>D</t>
  </si>
  <si>
    <t>L</t>
  </si>
  <si>
    <t>H</t>
  </si>
  <si>
    <r>
      <rPr>
        <rFont val="Arial"/>
        <b/>
        <color rgb="FFB45F06"/>
        <sz val="14.0"/>
      </rPr>
      <t>s</t>
    </r>
    <r>
      <rPr>
        <rFont val="Arial"/>
        <b/>
        <color rgb="FF000000"/>
        <sz val="14.0"/>
      </rPr>
      <t>GHIJKEF</t>
    </r>
    <r>
      <rPr>
        <rFont val="Arial"/>
        <b/>
        <color rgb="FFB45F06"/>
        <sz val="14.0"/>
      </rPr>
      <t>t</t>
    </r>
    <r>
      <rPr>
        <rFont val="Arial"/>
        <b/>
        <color rgb="FF000000"/>
        <sz val="14.0"/>
      </rPr>
      <t>:10</t>
    </r>
  </si>
  <si>
    <t>sG : 100</t>
  </si>
  <si>
    <t>JK : 61</t>
  </si>
  <si>
    <t>sG : 83</t>
  </si>
  <si>
    <t>JK : 44</t>
  </si>
  <si>
    <r>
      <rPr>
        <rFont val="Arial"/>
        <b/>
        <color rgb="FF00FF00"/>
        <sz val="14.0"/>
      </rPr>
      <t>s</t>
    </r>
    <r>
      <rPr>
        <rFont val="Arial"/>
        <b/>
        <color rgb="FF000000"/>
        <sz val="14.0"/>
      </rPr>
      <t>GHIJKELMNOPQ</t>
    </r>
    <r>
      <rPr>
        <rFont val="Arial"/>
        <b/>
        <color rgb="FF00FF00"/>
        <sz val="14.0"/>
      </rPr>
      <t>t</t>
    </r>
    <r>
      <rPr>
        <rFont val="Arial"/>
        <b/>
        <color rgb="FF000000"/>
        <sz val="14.0"/>
      </rPr>
      <t>:7</t>
    </r>
  </si>
  <si>
    <t>AB : 10</t>
  </si>
  <si>
    <t>KE : 60</t>
  </si>
  <si>
    <t>AB : 0</t>
  </si>
  <si>
    <t>KE : 43</t>
  </si>
  <si>
    <t>AE : 15</t>
  </si>
  <si>
    <t>LM : 59</t>
  </si>
  <si>
    <t>LM : 52</t>
  </si>
  <si>
    <t>AR : 100</t>
  </si>
  <si>
    <t>MN : 58</t>
  </si>
  <si>
    <t>MN : 41</t>
  </si>
  <si>
    <t>M</t>
  </si>
  <si>
    <t>I</t>
  </si>
  <si>
    <t>N</t>
  </si>
  <si>
    <t>J</t>
  </si>
  <si>
    <t>O</t>
  </si>
  <si>
    <t>K</t>
  </si>
  <si>
    <t>P</t>
  </si>
  <si>
    <t>Q</t>
  </si>
  <si>
    <t>F</t>
  </si>
  <si>
    <t>Bt : 10</t>
  </si>
  <si>
    <t>NO : 57</t>
  </si>
  <si>
    <t>Bt : 0</t>
  </si>
  <si>
    <t>NO : 40</t>
  </si>
  <si>
    <t>CD : 10</t>
  </si>
  <si>
    <t>OP : 56</t>
  </si>
  <si>
    <t>OP : 46</t>
  </si>
  <si>
    <t>v(f)</t>
  </si>
  <si>
    <t>CL : 100</t>
  </si>
  <si>
    <t>PQ : 55</t>
  </si>
  <si>
    <t>CL : 90</t>
  </si>
  <si>
    <t>PQ : 38</t>
  </si>
  <si>
    <t>DB : 20</t>
  </si>
  <si>
    <t>Qt : 54</t>
  </si>
  <si>
    <t>Qt : 37</t>
  </si>
  <si>
    <t>EF : 10</t>
  </si>
  <si>
    <t>RD : 53</t>
  </si>
  <si>
    <t>EF : 0</t>
  </si>
  <si>
    <t>EL : 7</t>
  </si>
  <si>
    <t>EL : 0</t>
  </si>
  <si>
    <t>Ft : 20</t>
  </si>
  <si>
    <t>Ft : 10</t>
  </si>
  <si>
    <t>GH : 64</t>
  </si>
  <si>
    <t>GH : 47</t>
  </si>
  <si>
    <t>sA+sC+EF+EL</t>
  </si>
  <si>
    <t>S = {s,G,H,I,J,K,E}</t>
  </si>
  <si>
    <t>FIN DE ALGORITMO</t>
  </si>
  <si>
    <r>
      <rPr>
        <rFont val="Arial"/>
        <b/>
        <color rgb="FF8E7CC3"/>
        <sz val="14.0"/>
      </rPr>
      <t>s</t>
    </r>
    <r>
      <rPr>
        <rFont val="Arial"/>
        <b/>
        <color theme="1"/>
        <sz val="14.0"/>
      </rPr>
      <t>ab</t>
    </r>
    <r>
      <rPr>
        <rFont val="Arial"/>
        <b/>
        <color rgb="FF8E7CC3"/>
        <sz val="14.0"/>
      </rPr>
      <t>t</t>
    </r>
    <r>
      <rPr>
        <rFont val="Arial"/>
        <b/>
        <color theme="1"/>
        <sz val="14.0"/>
      </rPr>
      <t>:5</t>
    </r>
  </si>
  <si>
    <t>(s,a) : 5</t>
  </si>
  <si>
    <t>(g,t) : 10</t>
  </si>
  <si>
    <t>(s,a) : 0</t>
  </si>
  <si>
    <t>(g,t) : 6</t>
  </si>
  <si>
    <r>
      <rPr>
        <rFont val="Arial"/>
        <b/>
        <color rgb="FF4A86E8"/>
        <sz val="14.0"/>
      </rPr>
      <t>s</t>
    </r>
    <r>
      <rPr>
        <rFont val="Arial"/>
        <b/>
        <color theme="1"/>
        <sz val="14.0"/>
      </rPr>
      <t>fh</t>
    </r>
    <r>
      <rPr>
        <rFont val="Arial"/>
        <b/>
        <color rgb="FF4A86E8"/>
        <sz val="14.0"/>
      </rPr>
      <t>t</t>
    </r>
    <r>
      <rPr>
        <rFont val="Arial"/>
        <b/>
        <color theme="1"/>
        <sz val="14.0"/>
      </rPr>
      <t>:5</t>
    </r>
  </si>
  <si>
    <t>(s,c) : 5</t>
  </si>
  <si>
    <t>(h,t) : 5</t>
  </si>
  <si>
    <t>(s,c) : 0</t>
  </si>
  <si>
    <t>(h,t) : 0</t>
  </si>
  <si>
    <r>
      <rPr>
        <rFont val="Arial"/>
        <b/>
        <color rgb="FFB45F06"/>
        <sz val="14.0"/>
      </rPr>
      <t>s</t>
    </r>
    <r>
      <rPr>
        <rFont val="Arial"/>
        <b/>
        <color rgb="FF000000"/>
        <sz val="14.0"/>
      </rPr>
      <t>cidn</t>
    </r>
    <r>
      <rPr>
        <rFont val="Arial"/>
        <b/>
        <color rgb="FFB45F06"/>
        <sz val="14.0"/>
      </rPr>
      <t>t</t>
    </r>
    <r>
      <rPr>
        <rFont val="Arial"/>
        <b/>
        <color rgb="FF000000"/>
        <sz val="14.0"/>
      </rPr>
      <t>:5</t>
    </r>
  </si>
  <si>
    <t>(s,f) : 5</t>
  </si>
  <si>
    <t>(h,k) : 5</t>
  </si>
  <si>
    <t>(s,f) : 0</t>
  </si>
  <si>
    <t>(h,k) : 1</t>
  </si>
  <si>
    <r>
      <rPr>
        <rFont val="Arial"/>
        <b/>
        <color rgb="FF00FF00"/>
        <sz val="14.0"/>
      </rPr>
      <t>s</t>
    </r>
    <r>
      <rPr>
        <rFont val="Arial"/>
        <b/>
        <color rgb="FF000000"/>
        <sz val="14.0"/>
      </rPr>
      <t>jhkmn</t>
    </r>
    <r>
      <rPr>
        <rFont val="Arial"/>
        <b/>
        <color rgb="FF00FF00"/>
        <sz val="14.0"/>
      </rPr>
      <t>t</t>
    </r>
    <r>
      <rPr>
        <rFont val="Arial"/>
        <b/>
        <color rgb="FF000000"/>
        <sz val="14.0"/>
      </rPr>
      <t>:4</t>
    </r>
  </si>
  <si>
    <t>(s,j) : 10</t>
  </si>
  <si>
    <t>(i,d) : 10</t>
  </si>
  <si>
    <t>(s,j) : 2</t>
  </si>
  <si>
    <t>(i,d) : 1</t>
  </si>
  <si>
    <r>
      <rPr>
        <rFont val="Arial"/>
        <b/>
        <color rgb="FFFF0000"/>
        <sz val="14.0"/>
      </rPr>
      <t>s</t>
    </r>
    <r>
      <rPr>
        <rFont val="Arial"/>
        <b/>
        <color rgb="FF000000"/>
        <sz val="14.0"/>
      </rPr>
      <t>jh⁻fb⁻aidelg</t>
    </r>
    <r>
      <rPr>
        <rFont val="Arial"/>
        <b/>
        <color rgb="FFFF0000"/>
        <sz val="14.0"/>
      </rPr>
      <t>t</t>
    </r>
    <r>
      <rPr>
        <rFont val="Arial"/>
        <b/>
        <color rgb="FF000000"/>
        <sz val="14.0"/>
      </rPr>
      <t>:4</t>
    </r>
  </si>
  <si>
    <t>(a,b) : 5</t>
  </si>
  <si>
    <t>(j,h) : 10</t>
  </si>
  <si>
    <t>(a,b) : 4</t>
  </si>
  <si>
    <t>(j,h) : 2</t>
  </si>
  <si>
    <t>(a,i) : 4</t>
  </si>
  <si>
    <t xml:space="preserve">(k,m) : 4 </t>
  </si>
  <si>
    <t>(a,i) : 0</t>
  </si>
  <si>
    <t>(k,m) : 0</t>
  </si>
  <si>
    <t>(b,t) : 5</t>
  </si>
  <si>
    <t>(l,g) : 10</t>
  </si>
  <si>
    <t>(b,t) : 0</t>
  </si>
  <si>
    <t>(l,g) : 6</t>
  </si>
  <si>
    <t>(c,i) : 10</t>
  </si>
  <si>
    <t>(m,n) : 7</t>
  </si>
  <si>
    <t>(c,i) : 5</t>
  </si>
  <si>
    <t>(m,n) : 3</t>
  </si>
  <si>
    <t>(c,k) : 4</t>
  </si>
  <si>
    <t>(m,g) : 4</t>
  </si>
  <si>
    <t>(d,e) : 10</t>
  </si>
  <si>
    <t>(n,t) : 10</t>
  </si>
  <si>
    <t>(d,e) : 6</t>
  </si>
  <si>
    <t>(n,t) : 1</t>
  </si>
  <si>
    <t>l</t>
  </si>
  <si>
    <t>(d,n) : 5</t>
  </si>
  <si>
    <t>(d,n) : 0</t>
  </si>
  <si>
    <t>h⁻</t>
  </si>
  <si>
    <t>(e,l) : 10</t>
  </si>
  <si>
    <t>(e,l) : 6</t>
  </si>
  <si>
    <t>(f,b) : 4</t>
  </si>
  <si>
    <t>(f,b) : 0</t>
  </si>
  <si>
    <t>(f,h) : 5</t>
  </si>
  <si>
    <t>(f,h) : 4</t>
  </si>
  <si>
    <t>sa+sc+ht+km+fb</t>
  </si>
  <si>
    <t>S = {s,j,h,k,f}</t>
  </si>
  <si>
    <r>
      <rPr>
        <rFont val="Arial"/>
        <b/>
        <color rgb="FF8E7CC3"/>
        <sz val="14.0"/>
      </rPr>
      <t>s</t>
    </r>
    <r>
      <rPr>
        <rFont val="Arial"/>
        <b/>
        <color theme="1"/>
        <sz val="14.0"/>
      </rPr>
      <t>abcdef</t>
    </r>
    <r>
      <rPr>
        <rFont val="Arial"/>
        <b/>
        <color rgb="FF674EA7"/>
        <sz val="14.0"/>
      </rPr>
      <t>t</t>
    </r>
    <r>
      <rPr>
        <rFont val="Arial"/>
        <b/>
        <color theme="1"/>
        <sz val="14.0"/>
      </rPr>
      <t>:10</t>
    </r>
  </si>
  <si>
    <t>sa : 20</t>
  </si>
  <si>
    <t>hj : 5</t>
  </si>
  <si>
    <t>sa : 0</t>
  </si>
  <si>
    <r>
      <rPr>
        <rFont val="Arial"/>
        <b/>
        <color rgb="FF4A86E8"/>
        <sz val="14.0"/>
      </rPr>
      <t>s</t>
    </r>
    <r>
      <rPr>
        <rFont val="Arial"/>
        <b/>
        <color theme="1"/>
        <sz val="14.0"/>
      </rPr>
      <t>abcdgk</t>
    </r>
    <r>
      <rPr>
        <rFont val="Arial"/>
        <b/>
        <color rgb="FF4A86E8"/>
        <sz val="14.0"/>
      </rPr>
      <t>t</t>
    </r>
    <r>
      <rPr>
        <rFont val="Arial"/>
        <b/>
        <color theme="1"/>
        <sz val="14.0"/>
      </rPr>
      <t>:10</t>
    </r>
  </si>
  <si>
    <t>sj : 10</t>
  </si>
  <si>
    <t>hn : 4</t>
  </si>
  <si>
    <t>sj : 6</t>
  </si>
  <si>
    <t>hn : 0</t>
  </si>
  <si>
    <r>
      <rPr>
        <rFont val="Arial"/>
        <b/>
        <color rgb="FFB45F06"/>
        <sz val="14.0"/>
      </rPr>
      <t>s</t>
    </r>
    <r>
      <rPr>
        <rFont val="Arial"/>
        <b/>
        <color rgb="FF000000"/>
        <sz val="14.0"/>
      </rPr>
      <t>jlb⁻ahncdim</t>
    </r>
    <r>
      <rPr>
        <rFont val="Arial"/>
        <b/>
        <color rgb="FFB45F06"/>
        <sz val="14.0"/>
      </rPr>
      <t>t</t>
    </r>
    <r>
      <rPr>
        <rFont val="Arial"/>
        <b/>
        <color rgb="FF000000"/>
        <sz val="14.0"/>
      </rPr>
      <t>:4</t>
    </r>
  </si>
  <si>
    <t>ab : 20</t>
  </si>
  <si>
    <t>if : 5</t>
  </si>
  <si>
    <t>ab : 4</t>
  </si>
  <si>
    <t>ah : 10</t>
  </si>
  <si>
    <t>im : 5</t>
  </si>
  <si>
    <t>ah : 6</t>
  </si>
  <si>
    <t>im : 1</t>
  </si>
  <si>
    <t>bc : 20</t>
  </si>
  <si>
    <t>jl : 10</t>
  </si>
  <si>
    <t>bc : 0</t>
  </si>
  <si>
    <t>jl : 6</t>
  </si>
  <si>
    <t>cd : 30</t>
  </si>
  <si>
    <t>kt : 10</t>
  </si>
  <si>
    <t>cd : 6</t>
  </si>
  <si>
    <t>kt : 0</t>
  </si>
  <si>
    <t>de : 10</t>
  </si>
  <si>
    <t>lb : 5</t>
  </si>
  <si>
    <t>de : 0</t>
  </si>
  <si>
    <t>lb : 1</t>
  </si>
  <si>
    <t>dg : 10</t>
  </si>
  <si>
    <t>mt : 10</t>
  </si>
  <si>
    <t>dg : 0</t>
  </si>
  <si>
    <t>mt : 6</t>
  </si>
  <si>
    <t>di : 10</t>
  </si>
  <si>
    <t>nc : 10</t>
  </si>
  <si>
    <t>di : 6</t>
  </si>
  <si>
    <t>ef : 10</t>
  </si>
  <si>
    <t>ef : 0</t>
  </si>
  <si>
    <t>ek : 5</t>
  </si>
  <si>
    <t>ft : 10</t>
  </si>
  <si>
    <t>ft : 0</t>
  </si>
  <si>
    <t>gk : 10</t>
  </si>
  <si>
    <t>gk : 0</t>
  </si>
  <si>
    <t>gm : 5</t>
  </si>
  <si>
    <t>bc+hn</t>
  </si>
  <si>
    <t>S = {s,j,l,b,a,h}</t>
  </si>
  <si>
    <r>
      <rPr>
        <rFont val="Arial"/>
        <b/>
        <color rgb="FF674EA7"/>
        <sz val="14.0"/>
      </rPr>
      <t>s</t>
    </r>
    <r>
      <rPr>
        <rFont val="Arial"/>
        <b/>
        <color rgb="FF000000"/>
        <sz val="14.0"/>
      </rPr>
      <t>abcdef</t>
    </r>
    <r>
      <rPr>
        <rFont val="Arial"/>
        <b/>
        <color rgb="FF674EA7"/>
        <sz val="14.0"/>
      </rPr>
      <t>t</t>
    </r>
    <r>
      <rPr>
        <rFont val="Arial"/>
        <b/>
        <color rgb="FF000000"/>
        <sz val="14.0"/>
      </rPr>
      <t>:10</t>
    </r>
  </si>
  <si>
    <t>sa : 10</t>
  </si>
  <si>
    <r>
      <rPr>
        <rFont val="Arial"/>
        <b/>
        <color rgb="FF4A86E8"/>
        <sz val="14.0"/>
      </rPr>
      <t>s</t>
    </r>
    <r>
      <rPr>
        <rFont val="Arial"/>
        <b/>
        <color rgb="FF000000"/>
        <sz val="14.0"/>
      </rPr>
      <t>if</t>
    </r>
    <r>
      <rPr>
        <rFont val="Arial"/>
        <b/>
        <color rgb="FF4A86E8"/>
        <sz val="14.0"/>
      </rPr>
      <t>t</t>
    </r>
    <r>
      <rPr>
        <rFont val="Arial"/>
        <b/>
        <color rgb="FF000000"/>
        <sz val="14.0"/>
      </rPr>
      <t>:5</t>
    </r>
  </si>
  <si>
    <t>sg : 10</t>
  </si>
  <si>
    <t>sg : 6</t>
  </si>
  <si>
    <r>
      <rPr>
        <rFont val="Arial"/>
        <b/>
        <color rgb="FFB45F06"/>
        <sz val="14.0"/>
      </rPr>
      <t>s</t>
    </r>
    <r>
      <rPr>
        <rFont val="Arial"/>
        <b/>
        <color rgb="FF000000"/>
        <sz val="14.0"/>
      </rPr>
      <t>gkcdehn</t>
    </r>
    <r>
      <rPr>
        <rFont val="Arial"/>
        <b/>
        <color rgb="FFB45F06"/>
        <sz val="14.0"/>
      </rPr>
      <t>t</t>
    </r>
    <r>
      <rPr>
        <rFont val="Arial"/>
        <b/>
        <color rgb="FF000000"/>
        <sz val="14.0"/>
      </rPr>
      <t>:4</t>
    </r>
  </si>
  <si>
    <t>si : 10</t>
  </si>
  <si>
    <t>ib : 5</t>
  </si>
  <si>
    <t>si : 5</t>
  </si>
  <si>
    <t>ab : 10</t>
  </si>
  <si>
    <t>ab : 0</t>
  </si>
  <si>
    <t>ak : 5</t>
  </si>
  <si>
    <t>bc : 10</t>
  </si>
  <si>
    <t>kc : 10</t>
  </si>
  <si>
    <t>kc : 6</t>
  </si>
  <si>
    <t>lf : 5</t>
  </si>
  <si>
    <t>cd : 16</t>
  </si>
  <si>
    <t>lf : 0</t>
  </si>
  <si>
    <t>de : 20</t>
  </si>
  <si>
    <t>mc : 10</t>
  </si>
  <si>
    <t>de : 6</t>
  </si>
  <si>
    <t>dj : 10</t>
  </si>
  <si>
    <t>nt : 10</t>
  </si>
  <si>
    <t>nt : 6</t>
  </si>
  <si>
    <t>ef : 20</t>
  </si>
  <si>
    <t>eh : 10</t>
  </si>
  <si>
    <t>eh : 6</t>
  </si>
  <si>
    <t>c⁻</t>
  </si>
  <si>
    <t>ft : 20</t>
  </si>
  <si>
    <t>gk : 6</t>
  </si>
  <si>
    <t>ft+hn</t>
  </si>
  <si>
    <t>S = {s,g,i,k,m,c,d,b,e,j,a,f,h,l}</t>
  </si>
  <si>
    <t>¿FIN DE ALGORITMO?</t>
  </si>
  <si>
    <t>(ME CONFUNDI L CON i jajajaja)</t>
  </si>
  <si>
    <r>
      <rPr>
        <rFont val="Arial"/>
        <b/>
        <color rgb="FF674EA7"/>
        <sz val="14.0"/>
      </rPr>
      <t>s</t>
    </r>
    <r>
      <rPr>
        <rFont val="Arial"/>
        <b/>
        <color rgb="FF000000"/>
        <sz val="14.0"/>
      </rPr>
      <t>abcdef</t>
    </r>
    <r>
      <rPr>
        <rFont val="Arial"/>
        <b/>
        <color rgb="FF674EA7"/>
        <sz val="14.0"/>
      </rPr>
      <t>t</t>
    </r>
    <r>
      <rPr>
        <rFont val="Arial"/>
        <b/>
        <color rgb="FF000000"/>
        <sz val="14.0"/>
      </rPr>
      <t>:10</t>
    </r>
  </si>
  <si>
    <r>
      <rPr>
        <rFont val="Arial"/>
        <b/>
        <color rgb="FF4A86E8"/>
        <sz val="14.0"/>
      </rPr>
      <t>s</t>
    </r>
    <r>
      <rPr>
        <rFont val="Arial"/>
        <b/>
        <color rgb="FF000000"/>
        <sz val="14.0"/>
      </rPr>
      <t>gkcdef</t>
    </r>
    <r>
      <rPr>
        <rFont val="Arial"/>
        <b/>
        <color rgb="FF4A86E8"/>
        <sz val="14.0"/>
      </rPr>
      <t>t</t>
    </r>
    <r>
      <rPr>
        <rFont val="Arial"/>
        <b/>
        <color rgb="FF000000"/>
        <sz val="14.0"/>
      </rPr>
      <t>:10</t>
    </r>
  </si>
  <si>
    <t>sg : 0</t>
  </si>
  <si>
    <r>
      <rPr>
        <rFont val="Arial"/>
        <b/>
        <color rgb="FFB45F06"/>
        <sz val="14.0"/>
      </rPr>
      <t>s</t>
    </r>
    <r>
      <rPr>
        <rFont val="Arial"/>
        <b/>
        <color rgb="FF000000"/>
        <sz val="14.0"/>
      </rPr>
      <t>imcdehn</t>
    </r>
    <r>
      <rPr>
        <rFont val="Arial"/>
        <b/>
        <color rgb="FFB45F06"/>
        <sz val="14.0"/>
      </rPr>
      <t>t</t>
    </r>
    <r>
      <rPr>
        <rFont val="Arial"/>
        <b/>
        <color rgb="FF000000"/>
        <sz val="14.0"/>
      </rPr>
      <t>:4</t>
    </r>
  </si>
  <si>
    <t>si : 6</t>
  </si>
  <si>
    <t>mc : 6</t>
  </si>
  <si>
    <t>hn+ft</t>
  </si>
  <si>
    <t>S = {s,i,b,m,a,c,k,d,g,e,j,h,l,f}</t>
  </si>
  <si>
    <t>LETS GOOOUUU</t>
  </si>
  <si>
    <r>
      <rPr>
        <rFont val="Arial"/>
        <b/>
        <color rgb="FF674EA7"/>
        <sz val="14.0"/>
      </rPr>
      <t>s</t>
    </r>
    <r>
      <rPr>
        <rFont val="Arial"/>
        <b/>
        <color rgb="FF000000"/>
        <sz val="14.0"/>
      </rPr>
      <t>ab</t>
    </r>
    <r>
      <rPr>
        <rFont val="Arial"/>
        <b/>
        <color rgb="FF674EA7"/>
        <sz val="14.0"/>
      </rPr>
      <t>t</t>
    </r>
    <r>
      <rPr>
        <rFont val="Arial"/>
        <b/>
        <color rgb="FF000000"/>
        <sz val="14.0"/>
      </rPr>
      <t>:11</t>
    </r>
  </si>
  <si>
    <t>sa : 11</t>
  </si>
  <si>
    <t>ht : 5</t>
  </si>
  <si>
    <t>ht : 0</t>
  </si>
  <si>
    <r>
      <rPr>
        <rFont val="Arial"/>
        <b/>
        <color rgb="FF4A86E8"/>
        <sz val="14.0"/>
      </rPr>
      <t>s</t>
    </r>
    <r>
      <rPr>
        <rFont val="Arial"/>
        <b/>
        <color rgb="FF000000"/>
        <sz val="14.0"/>
      </rPr>
      <t>fh</t>
    </r>
    <r>
      <rPr>
        <rFont val="Arial"/>
        <b/>
        <color rgb="FF4A86E8"/>
        <sz val="14.0"/>
      </rPr>
      <t>t</t>
    </r>
    <r>
      <rPr>
        <rFont val="Arial"/>
        <b/>
        <color rgb="FF000000"/>
        <sz val="14.0"/>
      </rPr>
      <t>:5</t>
    </r>
  </si>
  <si>
    <t>sc : 9</t>
  </si>
  <si>
    <t>id : 10</t>
  </si>
  <si>
    <t>sc : 0</t>
  </si>
  <si>
    <t>id : 1</t>
  </si>
  <si>
    <r>
      <rPr>
        <rFont val="Arial"/>
        <b/>
        <color rgb="FFB45F06"/>
        <sz val="14.0"/>
      </rPr>
      <t>s</t>
    </r>
    <r>
      <rPr>
        <rFont val="Arial"/>
        <b/>
        <color rgb="FF000000"/>
        <sz val="14.0"/>
      </rPr>
      <t>cideg</t>
    </r>
    <r>
      <rPr>
        <rFont val="Arial"/>
        <b/>
        <color rgb="FFB45F06"/>
        <sz val="14.0"/>
      </rPr>
      <t>t</t>
    </r>
    <r>
      <rPr>
        <rFont val="Arial"/>
        <b/>
        <color rgb="FF000000"/>
        <sz val="14.0"/>
      </rPr>
      <t>:9</t>
    </r>
  </si>
  <si>
    <t>sf : 5</t>
  </si>
  <si>
    <t>jh : 10</t>
  </si>
  <si>
    <t>sf : 0</t>
  </si>
  <si>
    <t>ab : 11</t>
  </si>
  <si>
    <t>jk : 3</t>
  </si>
  <si>
    <t>ac : 3</t>
  </si>
  <si>
    <t>kb : 3</t>
  </si>
  <si>
    <t>an : 7</t>
  </si>
  <si>
    <t>nm : 3</t>
  </si>
  <si>
    <t>bt : 11</t>
  </si>
  <si>
    <t>mt : 3</t>
  </si>
  <si>
    <t>bt : 0</t>
  </si>
  <si>
    <t>ci : 10</t>
  </si>
  <si>
    <t>ci : 1</t>
  </si>
  <si>
    <t>ck : 3</t>
  </si>
  <si>
    <t>de : 1</t>
  </si>
  <si>
    <t>eg : 10</t>
  </si>
  <si>
    <t>eg : 1</t>
  </si>
  <si>
    <t>fb : 5</t>
  </si>
  <si>
    <t>fh : 10</t>
  </si>
  <si>
    <t>fh : 5</t>
  </si>
  <si>
    <t>gt : 17</t>
  </si>
  <si>
    <t>gt : 8</t>
  </si>
  <si>
    <t>sa+sc+sf</t>
  </si>
  <si>
    <t>S = {s}</t>
  </si>
  <si>
    <r>
      <rPr>
        <rFont val="Arial"/>
        <b/>
        <color rgb="FF674EA7"/>
        <sz val="14.0"/>
      </rPr>
      <t>s</t>
    </r>
    <r>
      <rPr>
        <rFont val="Arial"/>
        <b/>
        <color rgb="FF000000"/>
        <sz val="14.0"/>
      </rPr>
      <t>BFM</t>
    </r>
    <r>
      <rPr>
        <rFont val="Arial"/>
        <b/>
        <color rgb="FF674EA7"/>
        <sz val="14.0"/>
      </rPr>
      <t>t</t>
    </r>
    <r>
      <rPr>
        <rFont val="Arial"/>
        <b/>
        <color rgb="FF000000"/>
        <sz val="14.0"/>
      </rPr>
      <t>:10</t>
    </r>
  </si>
  <si>
    <t>sB : 20</t>
  </si>
  <si>
    <t>IJ : 15</t>
  </si>
  <si>
    <t>sB : 5</t>
  </si>
  <si>
    <t>IJ : 0</t>
  </si>
  <si>
    <r>
      <rPr>
        <rFont val="Arial"/>
        <b/>
        <color rgb="FF4A86E8"/>
        <sz val="14.0"/>
      </rPr>
      <t>s</t>
    </r>
    <r>
      <rPr>
        <rFont val="Arial"/>
        <b/>
        <color rgb="FF000000"/>
        <sz val="14.0"/>
      </rPr>
      <t>CDG</t>
    </r>
    <r>
      <rPr>
        <rFont val="Arial"/>
        <b/>
        <color rgb="FF4A86E8"/>
        <sz val="14.0"/>
      </rPr>
      <t>t</t>
    </r>
    <r>
      <rPr>
        <rFont val="Arial"/>
        <b/>
        <color rgb="FF000000"/>
        <sz val="14.0"/>
      </rPr>
      <t>:10</t>
    </r>
  </si>
  <si>
    <t>JH : 15</t>
  </si>
  <si>
    <t>JH : 0</t>
  </si>
  <si>
    <r>
      <rPr>
        <rFont val="Arial"/>
        <b/>
        <color rgb="FFB45F06"/>
        <sz val="14.0"/>
      </rPr>
      <t>s</t>
    </r>
    <r>
      <rPr>
        <rFont val="Arial"/>
        <b/>
        <color rgb="FF000000"/>
        <sz val="14.0"/>
      </rPr>
      <t>ENA</t>
    </r>
    <r>
      <rPr>
        <rFont val="Arial"/>
        <b/>
        <color rgb="FFB45F06"/>
        <sz val="14.0"/>
      </rPr>
      <t>t</t>
    </r>
    <r>
      <rPr>
        <rFont val="Arial"/>
        <b/>
        <color rgb="FF000000"/>
        <sz val="14.0"/>
      </rPr>
      <t>:10</t>
    </r>
  </si>
  <si>
    <t>sE : 10</t>
  </si>
  <si>
    <t>KB : 10</t>
  </si>
  <si>
    <t>sE : 0</t>
  </si>
  <si>
    <r>
      <rPr>
        <rFont val="Arial"/>
        <b/>
        <color rgb="FF00FF00"/>
        <sz val="14.0"/>
      </rPr>
      <t>s</t>
    </r>
    <r>
      <rPr>
        <rFont val="Arial"/>
        <b/>
        <color rgb="FF000000"/>
        <sz val="14.0"/>
      </rPr>
      <t>IJH</t>
    </r>
    <r>
      <rPr>
        <rFont val="Arial"/>
        <b/>
        <color rgb="FF00FF00"/>
        <sz val="14.0"/>
      </rPr>
      <t>t</t>
    </r>
    <r>
      <rPr>
        <rFont val="Arial"/>
        <b/>
        <color rgb="FF000000"/>
        <sz val="14.0"/>
      </rPr>
      <t>:10</t>
    </r>
  </si>
  <si>
    <t>sI : 10</t>
  </si>
  <si>
    <t>KG : 10</t>
  </si>
  <si>
    <t>sI : 0</t>
  </si>
  <si>
    <t>KG : 5</t>
  </si>
  <si>
    <r>
      <rPr>
        <rFont val="Arial"/>
        <b/>
        <color rgb="FFFF0000"/>
        <sz val="14.0"/>
      </rPr>
      <t>s</t>
    </r>
    <r>
      <rPr>
        <rFont val="Arial"/>
        <b/>
        <color rgb="FF000000"/>
        <sz val="14.0"/>
      </rPr>
      <t>BFMKG⁻DN⁻ELIJH</t>
    </r>
    <r>
      <rPr>
        <rFont val="Arial"/>
        <b/>
        <color rgb="FFFF0000"/>
        <sz val="14.0"/>
      </rPr>
      <t>t</t>
    </r>
    <r>
      <rPr>
        <rFont val="Arial"/>
        <b/>
        <color rgb="FF000000"/>
        <sz val="14.0"/>
      </rPr>
      <t>:5</t>
    </r>
  </si>
  <si>
    <t>At : 10</t>
  </si>
  <si>
    <t>LI : 10</t>
  </si>
  <si>
    <t>At : 0</t>
  </si>
  <si>
    <t>LI : 5</t>
  </si>
  <si>
    <t>BF : 20</t>
  </si>
  <si>
    <t>LK : 10</t>
  </si>
  <si>
    <t>BF : 5</t>
  </si>
  <si>
    <t>Mt : 10</t>
  </si>
  <si>
    <t>CD : 0</t>
  </si>
  <si>
    <t>Mt : 0</t>
  </si>
  <si>
    <t>DG : 10</t>
  </si>
  <si>
    <t>MK : 10</t>
  </si>
  <si>
    <t>DG : 5</t>
  </si>
  <si>
    <t>MK : 5</t>
  </si>
  <si>
    <t>DN : 10</t>
  </si>
  <si>
    <t>NA : 10</t>
  </si>
  <si>
    <t>DN : 5</t>
  </si>
  <si>
    <t>NA : 0</t>
  </si>
  <si>
    <t>EL : 10</t>
  </si>
  <si>
    <t>EL : 5</t>
  </si>
  <si>
    <t>EN : 10</t>
  </si>
  <si>
    <t>EN : 5</t>
  </si>
  <si>
    <t>FM : 20</t>
  </si>
  <si>
    <t>FM : 5</t>
  </si>
  <si>
    <t>Gt : 10</t>
  </si>
  <si>
    <t>Gt : 0</t>
  </si>
  <si>
    <t>Ht : 20</t>
  </si>
  <si>
    <t>Ht : 5</t>
  </si>
  <si>
    <t>Mt+Gt+NA+IJ</t>
  </si>
  <si>
    <t>S = {s,B,F,M,K,G,D,N,C,E,L,I}</t>
  </si>
  <si>
    <t>G⁻</t>
  </si>
  <si>
    <t>D⁻</t>
  </si>
  <si>
    <t>N⁻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</si>
</sst>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4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color rgb="FF000000"/>
      <name val="Arial"/>
      <scheme val="minor"/>
    </font>
    <font>
      <b/>
      <sz val="14.0"/>
      <color theme="1"/>
      <name val="Arial"/>
      <scheme val="minor"/>
    </font>
    <font>
      <strike/>
      <color rgb="FF000000"/>
      <name val="Arial"/>
      <scheme val="minor"/>
    </font>
    <font>
      <strike/>
      <color rgb="FFEA4335"/>
      <name val="Arial"/>
      <scheme val="minor"/>
    </font>
    <font>
      <strike/>
      <color theme="5"/>
      <name val="Arial"/>
      <scheme val="minor"/>
    </font>
    <font>
      <b/>
      <sz val="14.0"/>
      <color rgb="FFB45F06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674EA7"/>
        <bgColor rgb="FF674EA7"/>
      </patternFill>
    </fill>
    <fill>
      <patternFill patternType="solid">
        <fgColor rgb="FF00FF00"/>
        <bgColor rgb="FF00FF00"/>
      </patternFill>
    </fill>
    <fill>
      <patternFill patternType="solid">
        <fgColor rgb="FFB45F06"/>
        <bgColor rgb="FFB45F06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4" fillId="0" fontId="4" numFmtId="0" xfId="0" applyAlignment="1" applyBorder="1" applyFont="1">
      <alignment horizontal="center" readingOrder="0"/>
    </xf>
    <xf borderId="0" fillId="0" fontId="4" numFmtId="0" xfId="0" applyFont="1"/>
    <xf borderId="4" fillId="0" fontId="5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4" fillId="0" fontId="7" numFmtId="0" xfId="0" applyAlignment="1" applyBorder="1" applyFont="1">
      <alignment readingOrder="0"/>
    </xf>
    <xf borderId="0" fillId="0" fontId="6" numFmtId="0" xfId="0" applyAlignment="1" applyFont="1">
      <alignment horizontal="center" readingOrder="0"/>
    </xf>
    <xf borderId="4" fillId="0" fontId="7" numFmtId="0" xfId="0" applyBorder="1" applyFont="1"/>
    <xf borderId="1" fillId="0" fontId="3" numFmtId="0" xfId="0" applyAlignment="1" applyBorder="1" applyFont="1">
      <alignment horizontal="right"/>
    </xf>
    <xf borderId="4" fillId="0" fontId="8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6" numFmtId="0" xfId="0" applyFont="1"/>
    <xf borderId="1" fillId="0" fontId="7" numFmtId="0" xfId="0" applyAlignment="1" applyBorder="1" applyFont="1">
      <alignment horizontal="right" readingOrder="0"/>
    </xf>
    <xf borderId="4" fillId="2" fontId="5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horizontal="right" readingOrder="0"/>
    </xf>
    <xf borderId="4" fillId="3" fontId="4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4" fillId="5" fontId="12" numFmtId="0" xfId="0" applyAlignment="1" applyBorder="1" applyFill="1" applyFont="1">
      <alignment horizontal="center" readingOrder="0"/>
    </xf>
    <xf borderId="4" fillId="0" fontId="13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5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/>
    </xf>
    <xf borderId="1" fillId="0" fontId="15" numFmtId="0" xfId="0" applyAlignment="1" applyBorder="1" applyFont="1">
      <alignment horizontal="right" readingOrder="0"/>
    </xf>
    <xf borderId="4" fillId="6" fontId="4" numFmtId="0" xfId="0" applyAlignment="1" applyBorder="1" applyFill="1" applyFont="1">
      <alignment horizontal="center" readingOrder="0"/>
    </xf>
    <xf borderId="4" fillId="5" fontId="4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right"/>
    </xf>
    <xf borderId="4" fillId="2" fontId="4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right" readingOrder="0"/>
    </xf>
    <xf borderId="1" fillId="0" fontId="1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6" numFmtId="0" xfId="0" applyAlignment="1" applyBorder="1" applyFont="1">
      <alignment horizontal="center" readingOrder="0"/>
    </xf>
    <xf borderId="4" fillId="5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1" fillId="0" fontId="8" numFmtId="0" xfId="0" applyAlignment="1" applyBorder="1" applyFont="1">
      <alignment horizontal="right" readingOrder="0"/>
    </xf>
    <xf borderId="4" fillId="7" fontId="4" numFmtId="0" xfId="0" applyAlignment="1" applyBorder="1" applyFill="1" applyFont="1">
      <alignment horizontal="center" readingOrder="0"/>
    </xf>
    <xf borderId="4" fillId="8" fontId="4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4" fillId="9" fontId="4" numFmtId="0" xfId="0" applyAlignment="1" applyBorder="1" applyFill="1" applyFont="1">
      <alignment horizontal="center" readingOrder="0"/>
    </xf>
    <xf borderId="4" fillId="10" fontId="4" numFmtId="0" xfId="0" applyAlignment="1" applyBorder="1" applyFill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4" fillId="6" fontId="5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7" max="7" width="5.0"/>
    <col customWidth="1" min="8" max="8" width="13.25"/>
    <col customWidth="1" min="9" max="9" width="14.38"/>
    <col customWidth="1" min="10" max="11" width="5.0"/>
    <col customWidth="1" min="12" max="12" width="4.88"/>
    <col customWidth="1" min="13" max="13" width="5.38"/>
    <col customWidth="1" min="14" max="14" width="5.13"/>
    <col customWidth="1" min="15" max="16" width="5.25"/>
    <col customWidth="1" min="17" max="18" width="5.13"/>
    <col customWidth="1" min="19" max="19" width="5.5"/>
    <col customWidth="1" min="20" max="21" width="4.88"/>
    <col customWidth="1" min="22" max="22" width="4.75"/>
    <col customWidth="1" min="23" max="23" width="4.88"/>
    <col customWidth="1" min="24" max="24" width="5.13"/>
    <col customWidth="1" min="25" max="25" width="5.75"/>
    <col customWidth="1" min="26" max="30" width="4.75"/>
  </cols>
  <sheetData>
    <row r="1">
      <c r="A1" s="1" t="s">
        <v>0</v>
      </c>
      <c r="B1" s="2"/>
      <c r="C1" s="3"/>
      <c r="E1" s="1" t="s">
        <v>1</v>
      </c>
      <c r="F1" s="3"/>
      <c r="H1" s="1" t="s">
        <v>2</v>
      </c>
      <c r="I1" s="3"/>
      <c r="L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/>
      <c r="B2" s="5"/>
      <c r="C2" s="3"/>
      <c r="E2" s="6"/>
      <c r="F2" s="6"/>
      <c r="G2" s="7"/>
      <c r="H2" s="8"/>
      <c r="I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10"/>
      <c r="B3" s="5"/>
      <c r="C3" s="3"/>
      <c r="E3" s="6"/>
      <c r="F3" s="6"/>
      <c r="G3" s="7"/>
      <c r="H3" s="6"/>
      <c r="I3" s="6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9"/>
      <c r="Y3" s="9"/>
      <c r="Z3" s="9"/>
      <c r="AA3" s="9"/>
      <c r="AB3" s="9"/>
      <c r="AC3" s="9"/>
      <c r="AD3" s="9"/>
    </row>
    <row r="4">
      <c r="A4" s="10"/>
      <c r="B4" s="5"/>
      <c r="C4" s="3"/>
      <c r="E4" s="6"/>
      <c r="F4" s="6"/>
      <c r="G4" s="7"/>
      <c r="H4" s="6"/>
      <c r="I4" s="6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9"/>
      <c r="Y4" s="9"/>
      <c r="Z4" s="9"/>
      <c r="AA4" s="9"/>
      <c r="AB4" s="9"/>
      <c r="AC4" s="9"/>
      <c r="AD4" s="9"/>
    </row>
    <row r="5">
      <c r="A5" s="10"/>
      <c r="B5" s="5"/>
      <c r="C5" s="3"/>
      <c r="E5" s="6"/>
      <c r="F5" s="6"/>
      <c r="G5" s="7"/>
      <c r="H5" s="6"/>
      <c r="I5" s="6"/>
      <c r="L5" s="9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9"/>
      <c r="Y5" s="9"/>
      <c r="Z5" s="9"/>
      <c r="AA5" s="9"/>
      <c r="AB5" s="9"/>
      <c r="AC5" s="9"/>
      <c r="AD5" s="9"/>
    </row>
    <row r="6">
      <c r="A6" s="10"/>
      <c r="B6" s="5"/>
      <c r="C6" s="3"/>
      <c r="E6" s="6"/>
      <c r="F6" s="6"/>
      <c r="G6" s="7"/>
      <c r="H6" s="6"/>
      <c r="I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12"/>
      <c r="B7" s="13"/>
      <c r="C7" s="3"/>
      <c r="E7" s="6"/>
      <c r="F7" s="6"/>
      <c r="G7" s="7"/>
      <c r="H7" s="6"/>
      <c r="I7" s="6"/>
      <c r="L7" s="11"/>
      <c r="M7" s="11"/>
      <c r="N7" s="11"/>
      <c r="O7" s="11"/>
      <c r="P7" s="11"/>
      <c r="Q7" s="11"/>
      <c r="R7" s="11"/>
      <c r="S7" s="11"/>
      <c r="T7" s="11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12"/>
      <c r="B8" s="13"/>
      <c r="C8" s="3"/>
      <c r="E8" s="6"/>
      <c r="F8" s="6"/>
      <c r="G8" s="7"/>
      <c r="H8" s="6"/>
      <c r="I8" s="6"/>
      <c r="L8" s="9"/>
      <c r="M8" s="11"/>
      <c r="N8" s="11"/>
      <c r="O8" s="11"/>
      <c r="P8" s="11"/>
      <c r="Q8" s="11"/>
      <c r="R8" s="11"/>
      <c r="S8" s="11"/>
      <c r="T8" s="11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12"/>
      <c r="B9" s="13"/>
      <c r="C9" s="3"/>
      <c r="E9" s="6"/>
      <c r="F9" s="6"/>
      <c r="G9" s="7"/>
      <c r="H9" s="6"/>
      <c r="I9" s="6"/>
      <c r="L9" s="9"/>
      <c r="M9" s="11"/>
      <c r="N9" s="11"/>
      <c r="O9" s="11"/>
      <c r="P9" s="11"/>
      <c r="Q9" s="11"/>
      <c r="R9" s="11"/>
      <c r="S9" s="11"/>
      <c r="T9" s="11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14"/>
      <c r="B10" s="15"/>
      <c r="C10" s="3"/>
      <c r="E10" s="6"/>
      <c r="F10" s="6"/>
      <c r="G10" s="7"/>
      <c r="H10" s="6"/>
      <c r="I10" s="6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E11" s="6"/>
      <c r="F11" s="6"/>
      <c r="G11" s="7"/>
      <c r="H11" s="6"/>
      <c r="I11" s="6"/>
      <c r="L11" s="11"/>
      <c r="M11" s="11"/>
      <c r="N11" s="11"/>
      <c r="O11" s="11"/>
      <c r="P11" s="11"/>
      <c r="Q11" s="11"/>
      <c r="R11" s="11"/>
      <c r="S11" s="11"/>
      <c r="T11" s="11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E12" s="6"/>
      <c r="F12" s="16"/>
      <c r="G12" s="7"/>
      <c r="H12" s="6"/>
      <c r="I12" s="16"/>
      <c r="L12" s="9"/>
      <c r="M12" s="11"/>
      <c r="N12" s="11"/>
      <c r="O12" s="11"/>
      <c r="P12" s="11"/>
      <c r="Q12" s="11"/>
      <c r="R12" s="11"/>
      <c r="S12" s="11"/>
      <c r="T12" s="11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E13" s="6"/>
      <c r="F13" s="16"/>
      <c r="G13" s="7"/>
      <c r="H13" s="6"/>
      <c r="I13" s="16"/>
      <c r="L13" s="9"/>
      <c r="M13" s="11"/>
      <c r="N13" s="11"/>
      <c r="O13" s="11"/>
      <c r="P13" s="11"/>
      <c r="Q13" s="11"/>
      <c r="R13" s="11"/>
      <c r="S13" s="11"/>
      <c r="T13" s="11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E14" s="6"/>
      <c r="F14" s="16"/>
      <c r="G14" s="7"/>
      <c r="H14" s="6"/>
      <c r="I14" s="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E15" s="6"/>
      <c r="F15" s="16"/>
      <c r="G15" s="7"/>
      <c r="H15" s="6"/>
      <c r="I15" s="16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9"/>
      <c r="AA15" s="9"/>
      <c r="AB15" s="9"/>
      <c r="AC15" s="9"/>
      <c r="AD15" s="9"/>
    </row>
    <row r="16">
      <c r="L16" s="9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9"/>
      <c r="AA16" s="9"/>
      <c r="AB16" s="9"/>
      <c r="AC16" s="9"/>
      <c r="AD16" s="9"/>
    </row>
    <row r="17">
      <c r="L17" s="9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9"/>
      <c r="AA17" s="9"/>
      <c r="AB17" s="9"/>
      <c r="AC17" s="9"/>
      <c r="AD17" s="9"/>
    </row>
    <row r="18">
      <c r="D18" s="1" t="s">
        <v>4</v>
      </c>
      <c r="E18" s="2"/>
      <c r="F18" s="3"/>
      <c r="G18" s="1" t="s">
        <v>5</v>
      </c>
      <c r="H18" s="2"/>
      <c r="I18" s="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D19" s="17" t="s">
        <v>6</v>
      </c>
      <c r="E19" s="18"/>
      <c r="F19" s="3"/>
      <c r="G19" s="19"/>
      <c r="H19" s="2"/>
      <c r="I19" s="3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9"/>
      <c r="AD19" s="9"/>
    </row>
    <row r="20">
      <c r="D20" s="17" t="s">
        <v>7</v>
      </c>
      <c r="E20" s="1"/>
      <c r="F20" s="3"/>
      <c r="L20" s="9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9"/>
      <c r="AD20" s="9"/>
    </row>
    <row r="21">
      <c r="L21" s="9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9"/>
      <c r="AD21" s="9"/>
    </row>
    <row r="22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9"/>
      <c r="AD23" s="9"/>
    </row>
    <row r="24">
      <c r="L24" s="9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9"/>
      <c r="AD24" s="9"/>
    </row>
    <row r="25">
      <c r="L25" s="9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9"/>
      <c r="AD25" s="9"/>
    </row>
    <row r="26"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L27" s="20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L28" s="20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</sheetData>
  <mergeCells count="22">
    <mergeCell ref="A1:C1"/>
    <mergeCell ref="E1:F1"/>
    <mergeCell ref="H1:I1"/>
    <mergeCell ref="L1:X1"/>
    <mergeCell ref="B2:C2"/>
    <mergeCell ref="B3:C3"/>
    <mergeCell ref="B4:C4"/>
    <mergeCell ref="D18:F18"/>
    <mergeCell ref="E19:F19"/>
    <mergeCell ref="G19:I19"/>
    <mergeCell ref="E20:F20"/>
    <mergeCell ref="E21:F21"/>
    <mergeCell ref="E22:F22"/>
    <mergeCell ref="L27:P27"/>
    <mergeCell ref="L28:P28"/>
    <mergeCell ref="B5:C5"/>
    <mergeCell ref="B6:C6"/>
    <mergeCell ref="B7:C7"/>
    <mergeCell ref="B8:C8"/>
    <mergeCell ref="B9:C9"/>
    <mergeCell ref="B10:C10"/>
    <mergeCell ref="G18:I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7" max="7" width="5.0"/>
    <col customWidth="1" min="8" max="8" width="13.25"/>
    <col customWidth="1" min="9" max="9" width="14.38"/>
    <col customWidth="1" min="10" max="11" width="5.0"/>
    <col customWidth="1" min="12" max="12" width="4.88"/>
    <col customWidth="1" min="13" max="13" width="5.38"/>
    <col customWidth="1" min="14" max="14" width="5.13"/>
    <col customWidth="1" min="15" max="16" width="5.25"/>
    <col customWidth="1" min="17" max="18" width="5.13"/>
    <col customWidth="1" min="19" max="19" width="5.5"/>
    <col customWidth="1" min="20" max="21" width="4.88"/>
    <col customWidth="1" min="22" max="22" width="4.75"/>
    <col customWidth="1" min="23" max="23" width="4.88"/>
    <col customWidth="1" min="24" max="24" width="5.13"/>
    <col customWidth="1" min="25" max="25" width="5.75"/>
    <col customWidth="1" min="26" max="30" width="4.75"/>
  </cols>
  <sheetData>
    <row r="1">
      <c r="A1" s="1" t="s">
        <v>0</v>
      </c>
      <c r="B1" s="2"/>
      <c r="C1" s="3"/>
      <c r="E1" s="1" t="s">
        <v>1</v>
      </c>
      <c r="F1" s="3"/>
      <c r="H1" s="1" t="s">
        <v>2</v>
      </c>
      <c r="I1" s="3"/>
      <c r="L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>
        <v>1.0</v>
      </c>
      <c r="B2" s="22" t="s">
        <v>8</v>
      </c>
      <c r="C2" s="3"/>
      <c r="E2" s="6" t="s">
        <v>9</v>
      </c>
      <c r="F2" s="6" t="s">
        <v>10</v>
      </c>
      <c r="G2" s="7"/>
      <c r="H2" s="23" t="s">
        <v>11</v>
      </c>
      <c r="I2" s="6" t="s">
        <v>10</v>
      </c>
    </row>
    <row r="3">
      <c r="A3" s="10">
        <v>2.0</v>
      </c>
      <c r="B3" s="24" t="s">
        <v>12</v>
      </c>
      <c r="C3" s="3"/>
      <c r="E3" s="6" t="s">
        <v>13</v>
      </c>
      <c r="F3" s="6" t="s">
        <v>14</v>
      </c>
      <c r="G3" s="7"/>
      <c r="H3" s="25" t="s">
        <v>15</v>
      </c>
      <c r="I3" s="26" t="s">
        <v>16</v>
      </c>
      <c r="L3" s="27" t="s">
        <v>17</v>
      </c>
      <c r="M3" s="28" t="s">
        <v>18</v>
      </c>
      <c r="N3" s="28" t="s">
        <v>19</v>
      </c>
      <c r="O3" s="29" t="s">
        <v>20</v>
      </c>
      <c r="P3" s="29" t="s">
        <v>21</v>
      </c>
      <c r="Q3" s="29" t="s">
        <v>22</v>
      </c>
      <c r="R3" s="30" t="s">
        <v>23</v>
      </c>
      <c r="S3" s="30" t="s">
        <v>24</v>
      </c>
      <c r="T3" s="30" t="s">
        <v>25</v>
      </c>
      <c r="U3" s="30" t="s">
        <v>26</v>
      </c>
      <c r="V3" s="30" t="s">
        <v>27</v>
      </c>
      <c r="W3" s="31" t="s">
        <v>28</v>
      </c>
      <c r="X3" s="32"/>
    </row>
    <row r="4">
      <c r="A4" s="10">
        <v>3.0</v>
      </c>
      <c r="B4" s="33" t="s">
        <v>29</v>
      </c>
      <c r="C4" s="3"/>
      <c r="E4" s="6" t="s">
        <v>30</v>
      </c>
      <c r="F4" s="6" t="s">
        <v>31</v>
      </c>
      <c r="G4" s="7"/>
      <c r="H4" s="34" t="s">
        <v>32</v>
      </c>
      <c r="I4" s="26" t="s">
        <v>33</v>
      </c>
      <c r="L4" s="30" t="s">
        <v>34</v>
      </c>
      <c r="M4" s="30" t="s">
        <v>17</v>
      </c>
      <c r="N4" s="30" t="s">
        <v>17</v>
      </c>
      <c r="O4" s="30" t="s">
        <v>17</v>
      </c>
      <c r="P4" s="30" t="s">
        <v>17</v>
      </c>
      <c r="Q4" s="30" t="s">
        <v>18</v>
      </c>
      <c r="R4" s="30" t="s">
        <v>18</v>
      </c>
      <c r="S4" s="30" t="s">
        <v>19</v>
      </c>
      <c r="T4" s="30" t="s">
        <v>19</v>
      </c>
      <c r="U4" s="30" t="s">
        <v>20</v>
      </c>
      <c r="V4" s="30" t="s">
        <v>21</v>
      </c>
      <c r="W4" s="30" t="s">
        <v>22</v>
      </c>
      <c r="X4" s="32"/>
    </row>
    <row r="5">
      <c r="A5" s="10">
        <v>4.0</v>
      </c>
      <c r="B5" s="24" t="s">
        <v>35</v>
      </c>
      <c r="C5" s="3"/>
      <c r="E5" s="6" t="s">
        <v>36</v>
      </c>
      <c r="F5" s="6" t="s">
        <v>37</v>
      </c>
      <c r="G5" s="7"/>
      <c r="H5" s="26" t="s">
        <v>38</v>
      </c>
      <c r="I5" s="35" t="s">
        <v>39</v>
      </c>
      <c r="L5" s="32"/>
      <c r="M5" s="30">
        <v>20.0</v>
      </c>
      <c r="N5" s="30">
        <v>10.0</v>
      </c>
      <c r="O5" s="30">
        <v>10.0</v>
      </c>
      <c r="P5" s="30">
        <v>10.0</v>
      </c>
      <c r="Q5" s="30">
        <v>20.0</v>
      </c>
      <c r="R5" s="30">
        <v>10.0</v>
      </c>
      <c r="S5" s="30">
        <v>10.0</v>
      </c>
      <c r="T5" s="30">
        <v>5.0</v>
      </c>
      <c r="U5" s="30">
        <v>5.0</v>
      </c>
      <c r="V5" s="30">
        <v>10.0</v>
      </c>
      <c r="W5" s="30">
        <v>20.0</v>
      </c>
      <c r="X5" s="32"/>
    </row>
    <row r="6">
      <c r="A6" s="10">
        <v>5.0</v>
      </c>
      <c r="B6" s="24" t="s">
        <v>40</v>
      </c>
      <c r="C6" s="3"/>
      <c r="E6" s="6" t="s">
        <v>41</v>
      </c>
      <c r="F6" s="6" t="s">
        <v>42</v>
      </c>
      <c r="G6" s="7"/>
      <c r="H6" s="26" t="s">
        <v>43</v>
      </c>
      <c r="I6" s="26" t="s">
        <v>44</v>
      </c>
    </row>
    <row r="7">
      <c r="A7" s="12"/>
      <c r="B7" s="36"/>
      <c r="C7" s="3"/>
      <c r="E7" s="6" t="s">
        <v>45</v>
      </c>
      <c r="F7" s="6" t="s">
        <v>46</v>
      </c>
      <c r="G7" s="7"/>
      <c r="H7" s="26" t="s">
        <v>47</v>
      </c>
      <c r="I7" s="34" t="s">
        <v>48</v>
      </c>
      <c r="L7" s="27" t="s">
        <v>17</v>
      </c>
      <c r="M7" s="29" t="s">
        <v>19</v>
      </c>
      <c r="N7" s="29" t="s">
        <v>20</v>
      </c>
      <c r="O7" s="29" t="s">
        <v>21</v>
      </c>
      <c r="P7" s="29" t="s">
        <v>24</v>
      </c>
      <c r="Q7" s="30" t="s">
        <v>25</v>
      </c>
      <c r="R7" s="30" t="s">
        <v>26</v>
      </c>
      <c r="S7" s="30" t="s">
        <v>27</v>
      </c>
      <c r="T7" s="31" t="s">
        <v>28</v>
      </c>
      <c r="U7" s="32"/>
      <c r="V7" s="32"/>
      <c r="W7" s="32"/>
      <c r="X7" s="32"/>
    </row>
    <row r="8">
      <c r="A8" s="12"/>
      <c r="B8" s="36"/>
      <c r="C8" s="3"/>
      <c r="E8" s="6" t="s">
        <v>49</v>
      </c>
      <c r="F8" s="6" t="s">
        <v>50</v>
      </c>
      <c r="G8" s="7"/>
      <c r="H8" s="37" t="s">
        <v>51</v>
      </c>
      <c r="I8" s="26" t="s">
        <v>52</v>
      </c>
      <c r="L8" s="32"/>
      <c r="M8" s="30" t="s">
        <v>17</v>
      </c>
      <c r="N8" s="30" t="s">
        <v>17</v>
      </c>
      <c r="O8" s="30" t="s">
        <v>17</v>
      </c>
      <c r="P8" s="30" t="s">
        <v>19</v>
      </c>
      <c r="Q8" s="30" t="s">
        <v>19</v>
      </c>
      <c r="R8" s="30" t="s">
        <v>20</v>
      </c>
      <c r="S8" s="30" t="s">
        <v>21</v>
      </c>
      <c r="T8" s="30" t="s">
        <v>24</v>
      </c>
      <c r="U8" s="32"/>
      <c r="V8" s="32"/>
      <c r="W8" s="32"/>
      <c r="X8" s="32"/>
    </row>
    <row r="9">
      <c r="A9" s="12"/>
      <c r="B9" s="36"/>
      <c r="C9" s="3"/>
      <c r="E9" s="6" t="s">
        <v>53</v>
      </c>
      <c r="F9" s="6" t="s">
        <v>54</v>
      </c>
      <c r="G9" s="7"/>
      <c r="H9" s="26" t="s">
        <v>55</v>
      </c>
      <c r="I9" s="26" t="s">
        <v>56</v>
      </c>
      <c r="L9" s="32"/>
      <c r="M9" s="30">
        <v>10.0</v>
      </c>
      <c r="N9" s="30">
        <v>10.0</v>
      </c>
      <c r="O9" s="30">
        <v>10.0</v>
      </c>
      <c r="P9" s="30">
        <v>10.0</v>
      </c>
      <c r="Q9" s="30">
        <v>5.0</v>
      </c>
      <c r="R9" s="30">
        <v>5.0</v>
      </c>
      <c r="S9" s="30">
        <v>10.0</v>
      </c>
      <c r="T9" s="30">
        <v>10.0</v>
      </c>
      <c r="U9" s="32"/>
      <c r="V9" s="32"/>
      <c r="W9" s="32"/>
      <c r="X9" s="32"/>
    </row>
    <row r="10">
      <c r="A10" s="38" t="s">
        <v>57</v>
      </c>
      <c r="B10" s="39">
        <f>20+10+10+5+3</f>
        <v>48</v>
      </c>
      <c r="C10" s="3"/>
      <c r="E10" s="6" t="s">
        <v>58</v>
      </c>
      <c r="F10" s="6" t="s">
        <v>59</v>
      </c>
      <c r="G10" s="7"/>
      <c r="H10" s="26" t="s">
        <v>60</v>
      </c>
      <c r="I10" s="26" t="s">
        <v>61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</row>
    <row r="11">
      <c r="E11" s="6" t="s">
        <v>62</v>
      </c>
      <c r="F11" s="6" t="s">
        <v>63</v>
      </c>
      <c r="G11" s="7"/>
      <c r="H11" s="26" t="s">
        <v>64</v>
      </c>
      <c r="I11" s="26" t="s">
        <v>65</v>
      </c>
      <c r="L11" s="27" t="s">
        <v>17</v>
      </c>
      <c r="M11" s="29" t="s">
        <v>20</v>
      </c>
      <c r="N11" s="29" t="s">
        <v>21</v>
      </c>
      <c r="O11" s="29" t="s">
        <v>25</v>
      </c>
      <c r="P11" s="41" t="s">
        <v>26</v>
      </c>
      <c r="Q11" s="41" t="s">
        <v>27</v>
      </c>
      <c r="R11" s="42" t="s">
        <v>28</v>
      </c>
      <c r="S11" s="41"/>
      <c r="T11" s="41"/>
      <c r="U11" s="43"/>
      <c r="V11" s="43"/>
      <c r="W11" s="43"/>
      <c r="X11" s="43"/>
    </row>
    <row r="12">
      <c r="E12" s="6" t="s">
        <v>66</v>
      </c>
      <c r="F12" s="16"/>
      <c r="G12" s="7"/>
      <c r="H12" s="26" t="s">
        <v>67</v>
      </c>
      <c r="I12" s="16"/>
      <c r="L12" s="43"/>
      <c r="M12" s="41" t="s">
        <v>17</v>
      </c>
      <c r="N12" s="41" t="s">
        <v>17</v>
      </c>
      <c r="O12" s="41" t="s">
        <v>20</v>
      </c>
      <c r="P12" s="41" t="s">
        <v>20</v>
      </c>
      <c r="Q12" s="41" t="s">
        <v>21</v>
      </c>
      <c r="R12" s="41" t="s">
        <v>25</v>
      </c>
      <c r="S12" s="41"/>
      <c r="T12" s="41"/>
      <c r="U12" s="43"/>
      <c r="V12" s="43"/>
      <c r="W12" s="43"/>
      <c r="X12" s="43"/>
    </row>
    <row r="13">
      <c r="E13" s="6" t="s">
        <v>68</v>
      </c>
      <c r="F13" s="16"/>
      <c r="G13" s="7"/>
      <c r="H13" s="25" t="s">
        <v>69</v>
      </c>
      <c r="I13" s="16"/>
      <c r="L13" s="43"/>
      <c r="M13" s="41">
        <v>10.0</v>
      </c>
      <c r="N13" s="41">
        <v>10.0</v>
      </c>
      <c r="O13" s="41">
        <v>10.0</v>
      </c>
      <c r="P13" s="41">
        <v>5.0</v>
      </c>
      <c r="Q13" s="41">
        <v>10.0</v>
      </c>
      <c r="R13" s="41">
        <v>10.0</v>
      </c>
      <c r="S13" s="41"/>
      <c r="T13" s="41"/>
      <c r="U13" s="43"/>
      <c r="V13" s="43"/>
      <c r="W13" s="43"/>
      <c r="X13" s="43"/>
    </row>
    <row r="14">
      <c r="E14" s="6" t="s">
        <v>70</v>
      </c>
      <c r="F14" s="16"/>
      <c r="G14" s="7"/>
      <c r="H14" s="26" t="s">
        <v>71</v>
      </c>
      <c r="I14" s="16"/>
    </row>
    <row r="15">
      <c r="E15" s="6" t="s">
        <v>72</v>
      </c>
      <c r="F15" s="16"/>
      <c r="G15" s="7"/>
      <c r="H15" s="26" t="s">
        <v>73</v>
      </c>
      <c r="I15" s="16"/>
      <c r="L15" s="27" t="s">
        <v>17</v>
      </c>
      <c r="M15" s="29" t="s">
        <v>21</v>
      </c>
      <c r="N15" s="29" t="s">
        <v>27</v>
      </c>
      <c r="O15" s="29" t="s">
        <v>22</v>
      </c>
      <c r="P15" s="29" t="s">
        <v>18</v>
      </c>
      <c r="Q15" s="29" t="s">
        <v>23</v>
      </c>
      <c r="R15" s="29" t="s">
        <v>74</v>
      </c>
      <c r="S15" s="29" t="s">
        <v>75</v>
      </c>
      <c r="T15" s="29" t="s">
        <v>76</v>
      </c>
      <c r="U15" s="29" t="s">
        <v>77</v>
      </c>
      <c r="V15" s="29" t="s">
        <v>24</v>
      </c>
      <c r="W15" s="29" t="s">
        <v>26</v>
      </c>
      <c r="X15" s="41" t="s">
        <v>78</v>
      </c>
      <c r="Y15" s="31" t="s">
        <v>28</v>
      </c>
      <c r="Z15" s="32"/>
      <c r="AA15" s="32"/>
      <c r="AB15" s="32"/>
      <c r="AC15" s="32"/>
      <c r="AD15" s="32"/>
    </row>
    <row r="16">
      <c r="L16" s="43"/>
      <c r="M16" s="41" t="s">
        <v>17</v>
      </c>
      <c r="N16" s="41" t="s">
        <v>21</v>
      </c>
      <c r="O16" s="41" t="s">
        <v>27</v>
      </c>
      <c r="P16" s="41" t="s">
        <v>79</v>
      </c>
      <c r="Q16" s="41" t="s">
        <v>18</v>
      </c>
      <c r="R16" s="41" t="s">
        <v>23</v>
      </c>
      <c r="S16" s="41" t="s">
        <v>74</v>
      </c>
      <c r="T16" s="41" t="s">
        <v>75</v>
      </c>
      <c r="U16" s="41" t="s">
        <v>76</v>
      </c>
      <c r="V16" s="41" t="s">
        <v>77</v>
      </c>
      <c r="W16" s="41" t="s">
        <v>77</v>
      </c>
      <c r="X16" s="41" t="s">
        <v>26</v>
      </c>
      <c r="Y16" s="30" t="s">
        <v>78</v>
      </c>
      <c r="Z16" s="32"/>
      <c r="AA16" s="32"/>
      <c r="AB16" s="32"/>
      <c r="AC16" s="32"/>
      <c r="AD16" s="32"/>
    </row>
    <row r="17">
      <c r="L17" s="43"/>
      <c r="M17" s="41">
        <v>10.0</v>
      </c>
      <c r="N17" s="41">
        <v>10.0</v>
      </c>
      <c r="O17" s="41">
        <v>10.0</v>
      </c>
      <c r="P17" s="41">
        <v>10.0</v>
      </c>
      <c r="Q17" s="41">
        <v>10.0</v>
      </c>
      <c r="R17" s="41">
        <v>8.0</v>
      </c>
      <c r="S17" s="41">
        <v>8.0</v>
      </c>
      <c r="T17" s="41">
        <v>8.0</v>
      </c>
      <c r="U17" s="41">
        <v>8.0</v>
      </c>
      <c r="V17" s="41">
        <v>5.0</v>
      </c>
      <c r="W17" s="41">
        <v>5.0</v>
      </c>
      <c r="X17" s="41">
        <v>5.0</v>
      </c>
      <c r="Y17" s="30">
        <v>5.0</v>
      </c>
      <c r="Z17" s="32"/>
      <c r="AA17" s="32"/>
      <c r="AB17" s="32"/>
      <c r="AC17" s="32"/>
      <c r="AD17" s="32"/>
    </row>
    <row r="18">
      <c r="D18" s="1" t="s">
        <v>4</v>
      </c>
      <c r="E18" s="2"/>
      <c r="F18" s="3"/>
      <c r="G18" s="1" t="s">
        <v>5</v>
      </c>
      <c r="H18" s="2"/>
      <c r="I18" s="3"/>
    </row>
    <row r="19">
      <c r="D19" s="17" t="s">
        <v>6</v>
      </c>
      <c r="E19" s="18" t="s">
        <v>80</v>
      </c>
      <c r="F19" s="3"/>
      <c r="G19" s="19" t="s">
        <v>81</v>
      </c>
      <c r="H19" s="2"/>
      <c r="I19" s="3"/>
      <c r="L19" s="27" t="s">
        <v>17</v>
      </c>
      <c r="M19" s="29" t="s">
        <v>21</v>
      </c>
      <c r="N19" s="29" t="s">
        <v>27</v>
      </c>
      <c r="O19" s="29" t="s">
        <v>22</v>
      </c>
      <c r="P19" s="29" t="s">
        <v>18</v>
      </c>
      <c r="Q19" s="29" t="s">
        <v>23</v>
      </c>
      <c r="R19" s="29" t="s">
        <v>74</v>
      </c>
      <c r="S19" s="29" t="s">
        <v>75</v>
      </c>
      <c r="T19" s="29" t="s">
        <v>76</v>
      </c>
      <c r="U19" s="29" t="s">
        <v>77</v>
      </c>
      <c r="V19" s="29" t="s">
        <v>24</v>
      </c>
      <c r="W19" s="29" t="s">
        <v>19</v>
      </c>
      <c r="X19" s="29" t="s">
        <v>25</v>
      </c>
      <c r="Y19" s="29" t="s">
        <v>20</v>
      </c>
      <c r="Z19" s="29" t="s">
        <v>26</v>
      </c>
      <c r="AA19" s="29" t="s">
        <v>78</v>
      </c>
      <c r="AB19" s="42" t="s">
        <v>28</v>
      </c>
      <c r="AC19" s="43"/>
      <c r="AD19" s="43"/>
    </row>
    <row r="20">
      <c r="D20" s="17" t="s">
        <v>7</v>
      </c>
      <c r="E20" s="1">
        <f>10+10+20+8</f>
        <v>48</v>
      </c>
      <c r="F20" s="3"/>
      <c r="L20" s="43"/>
      <c r="M20" s="41" t="s">
        <v>17</v>
      </c>
      <c r="N20" s="41" t="s">
        <v>21</v>
      </c>
      <c r="O20" s="41" t="s">
        <v>27</v>
      </c>
      <c r="P20" s="41" t="s">
        <v>79</v>
      </c>
      <c r="Q20" s="41" t="s">
        <v>18</v>
      </c>
      <c r="R20" s="41" t="s">
        <v>23</v>
      </c>
      <c r="S20" s="41" t="s">
        <v>74</v>
      </c>
      <c r="T20" s="41" t="s">
        <v>75</v>
      </c>
      <c r="U20" s="41" t="s">
        <v>76</v>
      </c>
      <c r="V20" s="41" t="s">
        <v>77</v>
      </c>
      <c r="W20" s="41" t="s">
        <v>82</v>
      </c>
      <c r="X20" s="41" t="s">
        <v>19</v>
      </c>
      <c r="Y20" s="41" t="s">
        <v>83</v>
      </c>
      <c r="Z20" s="41" t="s">
        <v>20</v>
      </c>
      <c r="AA20" s="41" t="s">
        <v>26</v>
      </c>
      <c r="AB20" s="41" t="s">
        <v>78</v>
      </c>
      <c r="AC20" s="43"/>
      <c r="AD20" s="43"/>
    </row>
    <row r="21">
      <c r="L21" s="43"/>
      <c r="M21" s="41">
        <v>5.0</v>
      </c>
      <c r="N21" s="41">
        <v>5.0</v>
      </c>
      <c r="O21" s="41">
        <v>5.0</v>
      </c>
      <c r="P21" s="41">
        <v>5.0</v>
      </c>
      <c r="Q21" s="41">
        <v>5.0</v>
      </c>
      <c r="R21" s="41">
        <v>3.0</v>
      </c>
      <c r="S21" s="41">
        <v>3.0</v>
      </c>
      <c r="T21" s="41">
        <v>3.0</v>
      </c>
      <c r="U21" s="41">
        <v>3.0</v>
      </c>
      <c r="V21" s="41">
        <v>3.0</v>
      </c>
      <c r="W21" s="41">
        <v>3.0</v>
      </c>
      <c r="X21" s="41">
        <v>3.0</v>
      </c>
      <c r="Y21" s="41">
        <v>3.0</v>
      </c>
      <c r="Z21" s="41">
        <v>3.0</v>
      </c>
      <c r="AA21" s="41">
        <v>3.0</v>
      </c>
      <c r="AB21" s="41">
        <v>3.0</v>
      </c>
      <c r="AC21" s="43"/>
      <c r="AD21" s="43"/>
    </row>
    <row r="23">
      <c r="L23" s="27" t="s">
        <v>17</v>
      </c>
      <c r="M23" s="29" t="s">
        <v>21</v>
      </c>
      <c r="N23" s="29" t="s">
        <v>27</v>
      </c>
      <c r="O23" s="29" t="s">
        <v>22</v>
      </c>
      <c r="P23" s="29" t="s">
        <v>18</v>
      </c>
      <c r="Q23" s="29" t="s">
        <v>23</v>
      </c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3"/>
      <c r="AD23" s="43"/>
    </row>
    <row r="24">
      <c r="L24" s="43"/>
      <c r="M24" s="41" t="s">
        <v>17</v>
      </c>
      <c r="N24" s="41" t="s">
        <v>21</v>
      </c>
      <c r="O24" s="41" t="s">
        <v>27</v>
      </c>
      <c r="P24" s="41" t="s">
        <v>79</v>
      </c>
      <c r="Q24" s="41" t="s">
        <v>18</v>
      </c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3"/>
      <c r="AD24" s="43"/>
    </row>
    <row r="25">
      <c r="L25" s="43"/>
      <c r="M25" s="41">
        <v>2.0</v>
      </c>
      <c r="N25" s="41">
        <v>2.0</v>
      </c>
      <c r="O25" s="41">
        <v>2.0</v>
      </c>
      <c r="P25" s="41">
        <v>2.0</v>
      </c>
      <c r="Q25" s="41">
        <v>2.0</v>
      </c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3"/>
      <c r="AD25" s="43"/>
    </row>
    <row r="27">
      <c r="L27" s="1" t="s">
        <v>84</v>
      </c>
      <c r="M27" s="2"/>
      <c r="N27" s="2"/>
      <c r="O27" s="2"/>
      <c r="P27" s="3"/>
    </row>
    <row r="28">
      <c r="L28" s="1" t="s">
        <v>85</v>
      </c>
      <c r="M28" s="2"/>
      <c r="N28" s="2"/>
      <c r="O28" s="2"/>
      <c r="P28" s="3"/>
    </row>
  </sheetData>
  <mergeCells count="22">
    <mergeCell ref="A1:C1"/>
    <mergeCell ref="E1:F1"/>
    <mergeCell ref="H1:I1"/>
    <mergeCell ref="L1:X1"/>
    <mergeCell ref="B2:C2"/>
    <mergeCell ref="B3:C3"/>
    <mergeCell ref="B4:C4"/>
    <mergeCell ref="D18:F18"/>
    <mergeCell ref="E19:F19"/>
    <mergeCell ref="G19:I19"/>
    <mergeCell ref="E20:F20"/>
    <mergeCell ref="E21:F21"/>
    <mergeCell ref="E22:F22"/>
    <mergeCell ref="L27:P27"/>
    <mergeCell ref="L28:P28"/>
    <mergeCell ref="B5:C5"/>
    <mergeCell ref="B6:C6"/>
    <mergeCell ref="B7:C7"/>
    <mergeCell ref="B8:C8"/>
    <mergeCell ref="B9:C9"/>
    <mergeCell ref="B10:C10"/>
    <mergeCell ref="G18:I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7" max="7" width="5.0"/>
    <col customWidth="1" min="8" max="8" width="13.25"/>
    <col customWidth="1" min="9" max="9" width="14.38"/>
    <col customWidth="1" min="10" max="11" width="5.0"/>
    <col customWidth="1" min="12" max="12" width="4.88"/>
    <col customWidth="1" min="13" max="13" width="5.38"/>
    <col customWidth="1" min="14" max="14" width="5.13"/>
    <col customWidth="1" min="15" max="16" width="5.25"/>
    <col customWidth="1" min="17" max="18" width="5.13"/>
    <col customWidth="1" min="19" max="19" width="5.5"/>
    <col customWidth="1" min="20" max="21" width="4.88"/>
    <col customWidth="1" min="22" max="22" width="4.75"/>
    <col customWidth="1" min="23" max="23" width="4.88"/>
    <col customWidth="1" min="24" max="24" width="5.13"/>
    <col customWidth="1" min="25" max="25" width="5.75"/>
    <col customWidth="1" min="26" max="30" width="4.75"/>
  </cols>
  <sheetData>
    <row r="1">
      <c r="A1" s="1" t="s">
        <v>0</v>
      </c>
      <c r="B1" s="2"/>
      <c r="C1" s="3"/>
      <c r="E1" s="1" t="s">
        <v>1</v>
      </c>
      <c r="F1" s="3"/>
      <c r="H1" s="1" t="s">
        <v>2</v>
      </c>
      <c r="I1" s="3"/>
      <c r="L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>
        <v>1.0</v>
      </c>
      <c r="B2" s="44" t="s">
        <v>86</v>
      </c>
      <c r="C2" s="3"/>
      <c r="E2" s="6" t="s">
        <v>87</v>
      </c>
      <c r="F2" s="6" t="s">
        <v>88</v>
      </c>
      <c r="G2" s="7"/>
      <c r="H2" s="45" t="s">
        <v>89</v>
      </c>
      <c r="I2" s="35" t="s">
        <v>90</v>
      </c>
    </row>
    <row r="3">
      <c r="A3" s="10">
        <v>2.0</v>
      </c>
      <c r="B3" s="24" t="s">
        <v>91</v>
      </c>
      <c r="C3" s="3"/>
      <c r="E3" s="6" t="s">
        <v>92</v>
      </c>
      <c r="F3" s="6" t="s">
        <v>93</v>
      </c>
      <c r="G3" s="7"/>
      <c r="H3" s="46" t="s">
        <v>94</v>
      </c>
      <c r="I3" s="35" t="s">
        <v>95</v>
      </c>
      <c r="L3" s="27" t="s">
        <v>17</v>
      </c>
      <c r="M3" s="29" t="s">
        <v>96</v>
      </c>
      <c r="N3" s="29" t="s">
        <v>97</v>
      </c>
      <c r="O3" s="29" t="s">
        <v>98</v>
      </c>
      <c r="P3" s="29" t="s">
        <v>99</v>
      </c>
      <c r="Q3" s="41" t="s">
        <v>100</v>
      </c>
      <c r="R3" s="41" t="s">
        <v>101</v>
      </c>
      <c r="S3" s="41" t="s">
        <v>102</v>
      </c>
      <c r="T3" s="41" t="s">
        <v>103</v>
      </c>
      <c r="U3" s="41" t="s">
        <v>104</v>
      </c>
      <c r="V3" s="42" t="s">
        <v>28</v>
      </c>
      <c r="W3" s="41"/>
      <c r="X3" s="43"/>
      <c r="Y3" s="43"/>
      <c r="Z3" s="43"/>
      <c r="AA3" s="43"/>
      <c r="AB3" s="43"/>
      <c r="AC3" s="43"/>
      <c r="AD3" s="43"/>
    </row>
    <row r="4">
      <c r="A4" s="10">
        <v>3.0</v>
      </c>
      <c r="B4" s="5" t="s">
        <v>105</v>
      </c>
      <c r="C4" s="3"/>
      <c r="E4" s="6" t="s">
        <v>106</v>
      </c>
      <c r="F4" s="6" t="s">
        <v>107</v>
      </c>
      <c r="G4" s="7"/>
      <c r="H4" s="35" t="s">
        <v>108</v>
      </c>
      <c r="I4" s="35" t="s">
        <v>109</v>
      </c>
      <c r="L4" s="41"/>
      <c r="M4" s="41" t="s">
        <v>17</v>
      </c>
      <c r="N4" s="41" t="s">
        <v>17</v>
      </c>
      <c r="O4" s="41" t="s">
        <v>17</v>
      </c>
      <c r="P4" s="41" t="s">
        <v>96</v>
      </c>
      <c r="Q4" s="41" t="s">
        <v>96</v>
      </c>
      <c r="R4" s="41" t="s">
        <v>96</v>
      </c>
      <c r="S4" s="41" t="s">
        <v>97</v>
      </c>
      <c r="T4" s="41" t="s">
        <v>97</v>
      </c>
      <c r="U4" s="41" t="s">
        <v>98</v>
      </c>
      <c r="V4" s="41" t="s">
        <v>99</v>
      </c>
      <c r="W4" s="41"/>
      <c r="X4" s="43"/>
      <c r="Y4" s="43"/>
      <c r="Z4" s="43"/>
      <c r="AA4" s="43"/>
      <c r="AB4" s="43"/>
      <c r="AC4" s="43"/>
      <c r="AD4" s="43"/>
    </row>
    <row r="5">
      <c r="A5" s="10">
        <v>4.0</v>
      </c>
      <c r="B5" s="5" t="s">
        <v>110</v>
      </c>
      <c r="C5" s="3"/>
      <c r="E5" s="6" t="s">
        <v>111</v>
      </c>
      <c r="F5" s="6" t="s">
        <v>112</v>
      </c>
      <c r="G5" s="7"/>
      <c r="H5" s="45" t="s">
        <v>113</v>
      </c>
      <c r="I5" s="35" t="s">
        <v>114</v>
      </c>
      <c r="L5" s="43"/>
      <c r="M5" s="41">
        <v>10.0</v>
      </c>
      <c r="N5" s="41">
        <v>10.0</v>
      </c>
      <c r="O5" s="41">
        <v>100.0</v>
      </c>
      <c r="P5" s="41">
        <v>10.0</v>
      </c>
      <c r="Q5" s="41">
        <v>10.0</v>
      </c>
      <c r="R5" s="41">
        <v>10.0</v>
      </c>
      <c r="S5" s="41">
        <v>10.0</v>
      </c>
      <c r="T5" s="41">
        <v>10.0</v>
      </c>
      <c r="U5" s="41">
        <v>64.0</v>
      </c>
      <c r="V5" s="41">
        <v>10.0</v>
      </c>
      <c r="W5" s="41"/>
      <c r="X5" s="43"/>
      <c r="Y5" s="43"/>
      <c r="Z5" s="43"/>
      <c r="AA5" s="43"/>
      <c r="AB5" s="43"/>
      <c r="AC5" s="43"/>
      <c r="AD5" s="43"/>
    </row>
    <row r="6">
      <c r="A6" s="10"/>
      <c r="B6" s="5"/>
      <c r="C6" s="3"/>
      <c r="E6" s="6" t="s">
        <v>115</v>
      </c>
      <c r="F6" s="6" t="s">
        <v>116</v>
      </c>
      <c r="G6" s="7"/>
      <c r="H6" s="6" t="s">
        <v>115</v>
      </c>
      <c r="I6" s="35" t="s">
        <v>117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12"/>
      <c r="B7" s="13"/>
      <c r="C7" s="3"/>
      <c r="E7" s="6" t="s">
        <v>118</v>
      </c>
      <c r="F7" s="6" t="s">
        <v>119</v>
      </c>
      <c r="G7" s="7"/>
      <c r="H7" s="6" t="s">
        <v>118</v>
      </c>
      <c r="I7" s="35" t="s">
        <v>120</v>
      </c>
      <c r="L7" s="27" t="s">
        <v>17</v>
      </c>
      <c r="M7" s="29" t="s">
        <v>97</v>
      </c>
      <c r="N7" s="29" t="s">
        <v>98</v>
      </c>
      <c r="O7" s="29" t="s">
        <v>102</v>
      </c>
      <c r="P7" s="29" t="s">
        <v>103</v>
      </c>
      <c r="Q7" s="29" t="s">
        <v>104</v>
      </c>
      <c r="R7" s="29" t="s">
        <v>99</v>
      </c>
      <c r="S7" s="29" t="s">
        <v>121</v>
      </c>
      <c r="T7" s="29" t="s">
        <v>122</v>
      </c>
      <c r="U7" s="29" t="s">
        <v>123</v>
      </c>
      <c r="V7" s="29" t="s">
        <v>124</v>
      </c>
      <c r="W7" s="29" t="s">
        <v>125</v>
      </c>
      <c r="X7" s="29" t="s">
        <v>126</v>
      </c>
      <c r="Y7" s="29" t="s">
        <v>127</v>
      </c>
      <c r="Z7" s="29" t="s">
        <v>100</v>
      </c>
      <c r="AA7" s="29" t="s">
        <v>128</v>
      </c>
      <c r="AB7" s="41" t="s">
        <v>129</v>
      </c>
      <c r="AC7" s="42" t="s">
        <v>28</v>
      </c>
      <c r="AD7" s="43"/>
    </row>
    <row r="8">
      <c r="A8" s="12"/>
      <c r="B8" s="13"/>
      <c r="C8" s="3"/>
      <c r="E8" s="6" t="s">
        <v>130</v>
      </c>
      <c r="F8" s="6" t="s">
        <v>131</v>
      </c>
      <c r="G8" s="7"/>
      <c r="H8" s="45" t="s">
        <v>132</v>
      </c>
      <c r="I8" s="35" t="s">
        <v>133</v>
      </c>
      <c r="L8" s="41"/>
      <c r="M8" s="41" t="s">
        <v>17</v>
      </c>
      <c r="N8" s="41" t="s">
        <v>17</v>
      </c>
      <c r="O8" s="41" t="s">
        <v>97</v>
      </c>
      <c r="P8" s="41" t="s">
        <v>97</v>
      </c>
      <c r="Q8" s="41" t="s">
        <v>98</v>
      </c>
      <c r="R8" s="41" t="s">
        <v>102</v>
      </c>
      <c r="S8" s="41" t="s">
        <v>103</v>
      </c>
      <c r="T8" s="41" t="s">
        <v>104</v>
      </c>
      <c r="U8" s="41" t="s">
        <v>121</v>
      </c>
      <c r="V8" s="41" t="s">
        <v>122</v>
      </c>
      <c r="W8" s="41" t="s">
        <v>123</v>
      </c>
      <c r="X8" s="41" t="s">
        <v>124</v>
      </c>
      <c r="Y8" s="41" t="s">
        <v>125</v>
      </c>
      <c r="Z8" s="41" t="s">
        <v>126</v>
      </c>
      <c r="AA8" s="41" t="s">
        <v>127</v>
      </c>
      <c r="AB8" s="41" t="s">
        <v>100</v>
      </c>
      <c r="AC8" s="41" t="s">
        <v>128</v>
      </c>
      <c r="AD8" s="43"/>
    </row>
    <row r="9">
      <c r="A9" s="12"/>
      <c r="B9" s="13"/>
      <c r="C9" s="3"/>
      <c r="E9" s="6" t="s">
        <v>134</v>
      </c>
      <c r="F9" s="6" t="s">
        <v>135</v>
      </c>
      <c r="G9" s="7"/>
      <c r="H9" s="6" t="s">
        <v>134</v>
      </c>
      <c r="I9" s="46" t="s">
        <v>136</v>
      </c>
      <c r="L9" s="43"/>
      <c r="M9" s="41">
        <v>10.0</v>
      </c>
      <c r="N9" s="41">
        <v>100.0</v>
      </c>
      <c r="O9" s="41">
        <v>10.0</v>
      </c>
      <c r="P9" s="41">
        <v>10.0</v>
      </c>
      <c r="Q9" s="41">
        <v>64.0</v>
      </c>
      <c r="R9" s="41">
        <v>10.0</v>
      </c>
      <c r="S9" s="41">
        <v>10.0</v>
      </c>
      <c r="T9" s="41">
        <v>63.0</v>
      </c>
      <c r="U9" s="41">
        <v>10.0</v>
      </c>
      <c r="V9" s="41">
        <v>62.0</v>
      </c>
      <c r="W9" s="41">
        <v>10.0</v>
      </c>
      <c r="X9" s="41">
        <v>61.0</v>
      </c>
      <c r="Y9" s="41">
        <v>10.0</v>
      </c>
      <c r="Z9" s="41">
        <v>60.0</v>
      </c>
      <c r="AA9" s="41">
        <v>10.0</v>
      </c>
      <c r="AB9" s="41">
        <v>10.0</v>
      </c>
      <c r="AC9" s="41">
        <v>10.0</v>
      </c>
      <c r="AD9" s="43"/>
    </row>
    <row r="10">
      <c r="A10" s="14" t="s">
        <v>137</v>
      </c>
      <c r="B10" s="47">
        <v>37.0</v>
      </c>
      <c r="C10" s="3"/>
      <c r="E10" s="6" t="s">
        <v>138</v>
      </c>
      <c r="F10" s="6" t="s">
        <v>139</v>
      </c>
      <c r="G10" s="7"/>
      <c r="H10" s="46" t="s">
        <v>140</v>
      </c>
      <c r="I10" s="35" t="s">
        <v>141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E11" s="6" t="s">
        <v>142</v>
      </c>
      <c r="F11" s="6" t="s">
        <v>143</v>
      </c>
      <c r="G11" s="7"/>
      <c r="H11" s="6" t="s">
        <v>142</v>
      </c>
      <c r="I11" s="35" t="s">
        <v>144</v>
      </c>
      <c r="L11" s="27" t="s">
        <v>17</v>
      </c>
      <c r="M11" s="29" t="s">
        <v>98</v>
      </c>
      <c r="N11" s="29" t="s">
        <v>104</v>
      </c>
      <c r="O11" s="29" t="s">
        <v>122</v>
      </c>
      <c r="P11" s="29" t="s">
        <v>124</v>
      </c>
      <c r="Q11" s="29" t="s">
        <v>126</v>
      </c>
      <c r="R11" s="29" t="s">
        <v>100</v>
      </c>
      <c r="S11" s="41" t="s">
        <v>129</v>
      </c>
      <c r="T11" s="41" t="s">
        <v>103</v>
      </c>
      <c r="U11" s="42" t="s">
        <v>28</v>
      </c>
      <c r="V11" s="41"/>
      <c r="W11" s="41"/>
      <c r="X11" s="41"/>
      <c r="Y11" s="41"/>
      <c r="Z11" s="41"/>
      <c r="AA11" s="41"/>
      <c r="AB11" s="41"/>
      <c r="AC11" s="41"/>
      <c r="AD11" s="43"/>
    </row>
    <row r="12">
      <c r="E12" s="6" t="s">
        <v>145</v>
      </c>
      <c r="F12" s="6" t="s">
        <v>146</v>
      </c>
      <c r="G12" s="7"/>
      <c r="H12" s="34" t="s">
        <v>147</v>
      </c>
      <c r="I12" s="6" t="s">
        <v>146</v>
      </c>
      <c r="L12" s="41"/>
      <c r="M12" s="41" t="s">
        <v>17</v>
      </c>
      <c r="N12" s="41" t="s">
        <v>98</v>
      </c>
      <c r="O12" s="41" t="s">
        <v>104</v>
      </c>
      <c r="P12" s="41" t="s">
        <v>122</v>
      </c>
      <c r="Q12" s="41" t="s">
        <v>124</v>
      </c>
      <c r="R12" s="41" t="s">
        <v>126</v>
      </c>
      <c r="S12" s="41" t="s">
        <v>100</v>
      </c>
      <c r="T12" s="41" t="s">
        <v>100</v>
      </c>
      <c r="U12" s="41" t="s">
        <v>129</v>
      </c>
      <c r="V12" s="41"/>
      <c r="W12" s="41"/>
      <c r="X12" s="41"/>
      <c r="Y12" s="41"/>
      <c r="Z12" s="41"/>
      <c r="AA12" s="41"/>
      <c r="AB12" s="41"/>
      <c r="AC12" s="41"/>
      <c r="AD12" s="43"/>
    </row>
    <row r="13">
      <c r="E13" s="6" t="s">
        <v>148</v>
      </c>
      <c r="F13" s="16"/>
      <c r="G13" s="7"/>
      <c r="H13" s="35" t="s">
        <v>149</v>
      </c>
      <c r="I13" s="16"/>
      <c r="L13" s="43"/>
      <c r="M13" s="41">
        <v>100.0</v>
      </c>
      <c r="N13" s="41">
        <v>64.0</v>
      </c>
      <c r="O13" s="41">
        <v>63.0</v>
      </c>
      <c r="P13" s="41">
        <v>62.0</v>
      </c>
      <c r="Q13" s="41">
        <v>61.0</v>
      </c>
      <c r="R13" s="41">
        <v>60.0</v>
      </c>
      <c r="S13" s="41">
        <v>10.0</v>
      </c>
      <c r="T13" s="41">
        <v>7.0</v>
      </c>
      <c r="U13" s="41">
        <v>10.0</v>
      </c>
      <c r="V13" s="41"/>
      <c r="W13" s="41"/>
      <c r="X13" s="41"/>
      <c r="Y13" s="41"/>
      <c r="Z13" s="41"/>
      <c r="AA13" s="41"/>
      <c r="AB13" s="41"/>
      <c r="AC13" s="41"/>
      <c r="AD13" s="43"/>
    </row>
    <row r="14">
      <c r="E14" s="6" t="s">
        <v>150</v>
      </c>
      <c r="F14" s="16"/>
      <c r="G14" s="7"/>
      <c r="H14" s="34" t="s">
        <v>151</v>
      </c>
      <c r="I14" s="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E15" s="6" t="s">
        <v>152</v>
      </c>
      <c r="F15" s="16"/>
      <c r="G15" s="7"/>
      <c r="H15" s="35" t="s">
        <v>153</v>
      </c>
      <c r="I15" s="16"/>
      <c r="L15" s="27" t="s">
        <v>17</v>
      </c>
      <c r="M15" s="29" t="s">
        <v>98</v>
      </c>
      <c r="N15" s="29" t="s">
        <v>104</v>
      </c>
      <c r="O15" s="29" t="s">
        <v>122</v>
      </c>
      <c r="P15" s="29" t="s">
        <v>124</v>
      </c>
      <c r="Q15" s="29" t="s">
        <v>126</v>
      </c>
      <c r="R15" s="29" t="s">
        <v>100</v>
      </c>
      <c r="S15" s="29" t="s">
        <v>103</v>
      </c>
      <c r="T15" s="41" t="s">
        <v>121</v>
      </c>
      <c r="U15" s="41" t="s">
        <v>123</v>
      </c>
      <c r="V15" s="41" t="s">
        <v>125</v>
      </c>
      <c r="W15" s="41" t="s">
        <v>127</v>
      </c>
      <c r="X15" s="41" t="s">
        <v>128</v>
      </c>
      <c r="Y15" s="42" t="s">
        <v>28</v>
      </c>
      <c r="Z15" s="41"/>
      <c r="AA15" s="41"/>
      <c r="AB15" s="41"/>
      <c r="AC15" s="41"/>
      <c r="AD15" s="43"/>
    </row>
    <row r="16">
      <c r="L16" s="41"/>
      <c r="M16" s="41" t="s">
        <v>17</v>
      </c>
      <c r="N16" s="41" t="s">
        <v>98</v>
      </c>
      <c r="O16" s="41" t="s">
        <v>104</v>
      </c>
      <c r="P16" s="41" t="s">
        <v>122</v>
      </c>
      <c r="Q16" s="41" t="s">
        <v>124</v>
      </c>
      <c r="R16" s="41" t="s">
        <v>126</v>
      </c>
      <c r="S16" s="41" t="s">
        <v>100</v>
      </c>
      <c r="T16" s="41" t="s">
        <v>103</v>
      </c>
      <c r="U16" s="41" t="s">
        <v>121</v>
      </c>
      <c r="V16" s="41" t="s">
        <v>123</v>
      </c>
      <c r="W16" s="41" t="s">
        <v>125</v>
      </c>
      <c r="X16" s="41" t="s">
        <v>127</v>
      </c>
      <c r="Y16" s="41" t="s">
        <v>128</v>
      </c>
      <c r="Z16" s="41"/>
      <c r="AA16" s="41"/>
      <c r="AB16" s="41"/>
      <c r="AC16" s="41"/>
      <c r="AD16" s="43"/>
    </row>
    <row r="17">
      <c r="L17" s="43"/>
      <c r="M17" s="41">
        <v>90.0</v>
      </c>
      <c r="N17" s="41">
        <v>54.0</v>
      </c>
      <c r="O17" s="41">
        <v>53.0</v>
      </c>
      <c r="P17" s="41">
        <v>52.0</v>
      </c>
      <c r="Q17" s="41">
        <v>51.0</v>
      </c>
      <c r="R17" s="41">
        <v>50.0</v>
      </c>
      <c r="S17" s="41">
        <v>7.0</v>
      </c>
      <c r="T17" s="41">
        <v>7.0</v>
      </c>
      <c r="U17" s="41">
        <v>7.0</v>
      </c>
      <c r="V17" s="41">
        <v>7.0</v>
      </c>
      <c r="W17" s="41">
        <v>7.0</v>
      </c>
      <c r="X17" s="41">
        <v>7.0</v>
      </c>
      <c r="Y17" s="41">
        <v>7.0</v>
      </c>
      <c r="Z17" s="41"/>
      <c r="AA17" s="41"/>
      <c r="AB17" s="41"/>
      <c r="AC17" s="41"/>
      <c r="AD17" s="43"/>
    </row>
    <row r="18">
      <c r="D18" s="1" t="s">
        <v>4</v>
      </c>
      <c r="E18" s="2"/>
      <c r="F18" s="3"/>
      <c r="G18" s="1" t="s">
        <v>5</v>
      </c>
      <c r="H18" s="2"/>
      <c r="I18" s="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D19" s="17" t="s">
        <v>6</v>
      </c>
      <c r="E19" s="18" t="s">
        <v>154</v>
      </c>
      <c r="F19" s="3"/>
      <c r="G19" s="19" t="s">
        <v>155</v>
      </c>
      <c r="H19" s="2"/>
      <c r="I19" s="3"/>
      <c r="L19" s="27" t="s">
        <v>17</v>
      </c>
      <c r="M19" s="29" t="s">
        <v>98</v>
      </c>
      <c r="N19" s="41" t="s">
        <v>104</v>
      </c>
      <c r="O19" s="41" t="s">
        <v>122</v>
      </c>
      <c r="P19" s="41" t="s">
        <v>124</v>
      </c>
      <c r="Q19" s="41" t="s">
        <v>126</v>
      </c>
      <c r="R19" s="41" t="s">
        <v>100</v>
      </c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3"/>
    </row>
    <row r="20">
      <c r="D20" s="17" t="s">
        <v>7</v>
      </c>
      <c r="E20" s="1">
        <f>10+10+10+7</f>
        <v>37</v>
      </c>
      <c r="F20" s="3"/>
      <c r="L20" s="41"/>
      <c r="M20" s="41" t="s">
        <v>17</v>
      </c>
      <c r="N20" s="41" t="s">
        <v>98</v>
      </c>
      <c r="O20" s="41" t="s">
        <v>104</v>
      </c>
      <c r="P20" s="41" t="s">
        <v>122</v>
      </c>
      <c r="Q20" s="41" t="s">
        <v>124</v>
      </c>
      <c r="R20" s="41" t="s">
        <v>126</v>
      </c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3"/>
    </row>
    <row r="21">
      <c r="L21" s="43"/>
      <c r="M21" s="41">
        <v>83.0</v>
      </c>
      <c r="N21" s="41">
        <v>47.0</v>
      </c>
      <c r="O21" s="41">
        <v>46.0</v>
      </c>
      <c r="P21" s="41">
        <v>45.0</v>
      </c>
      <c r="Q21" s="41">
        <v>44.0</v>
      </c>
      <c r="R21" s="41">
        <v>43.0</v>
      </c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3"/>
    </row>
    <row r="22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L23" s="48" t="s">
        <v>156</v>
      </c>
      <c r="M23" s="2"/>
      <c r="N23" s="2"/>
      <c r="O23" s="2"/>
      <c r="P23" s="3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9"/>
      <c r="AD23" s="9"/>
    </row>
    <row r="24">
      <c r="L24" s="48" t="s">
        <v>85</v>
      </c>
      <c r="M24" s="2"/>
      <c r="N24" s="2"/>
      <c r="O24" s="2"/>
      <c r="P24" s="3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9"/>
      <c r="AD24" s="9"/>
    </row>
    <row r="25">
      <c r="L25" s="9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9"/>
      <c r="AD25" s="9"/>
    </row>
    <row r="26"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L27" s="20"/>
      <c r="M27" s="20"/>
      <c r="N27" s="20"/>
      <c r="O27" s="20"/>
      <c r="P27" s="20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L28" s="20"/>
      <c r="M28" s="20"/>
      <c r="N28" s="20"/>
      <c r="O28" s="20"/>
      <c r="P28" s="20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</sheetData>
  <mergeCells count="22">
    <mergeCell ref="A1:C1"/>
    <mergeCell ref="E1:F1"/>
    <mergeCell ref="H1:I1"/>
    <mergeCell ref="L1:X1"/>
    <mergeCell ref="B2:C2"/>
    <mergeCell ref="B3:C3"/>
    <mergeCell ref="B4:C4"/>
    <mergeCell ref="D18:F18"/>
    <mergeCell ref="E19:F19"/>
    <mergeCell ref="G19:I19"/>
    <mergeCell ref="E20:F20"/>
    <mergeCell ref="E21:F21"/>
    <mergeCell ref="E22:F22"/>
    <mergeCell ref="L23:P23"/>
    <mergeCell ref="L24:P24"/>
    <mergeCell ref="B5:C5"/>
    <mergeCell ref="B6:C6"/>
    <mergeCell ref="B7:C7"/>
    <mergeCell ref="B8:C8"/>
    <mergeCell ref="B9:C9"/>
    <mergeCell ref="B10:C10"/>
    <mergeCell ref="G18:I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7" max="7" width="5.0"/>
    <col customWidth="1" min="8" max="8" width="13.25"/>
    <col customWidth="1" min="9" max="9" width="14.38"/>
    <col customWidth="1" min="10" max="11" width="5.0"/>
    <col customWidth="1" min="12" max="12" width="4.88"/>
    <col customWidth="1" min="13" max="13" width="5.38"/>
    <col customWidth="1" min="14" max="14" width="5.13"/>
    <col customWidth="1" min="15" max="16" width="5.25"/>
    <col customWidth="1" min="17" max="18" width="5.13"/>
    <col customWidth="1" min="19" max="19" width="5.5"/>
    <col customWidth="1" min="20" max="21" width="4.88"/>
    <col customWidth="1" min="22" max="22" width="4.75"/>
    <col customWidth="1" min="23" max="23" width="4.88"/>
    <col customWidth="1" min="24" max="24" width="5.13"/>
    <col customWidth="1" min="25" max="25" width="5.75"/>
    <col customWidth="1" min="26" max="30" width="4.75"/>
  </cols>
  <sheetData>
    <row r="1">
      <c r="A1" s="1" t="s">
        <v>0</v>
      </c>
      <c r="B1" s="2"/>
      <c r="C1" s="3"/>
      <c r="E1" s="1" t="s">
        <v>1</v>
      </c>
      <c r="F1" s="3"/>
      <c r="H1" s="1" t="s">
        <v>2</v>
      </c>
      <c r="I1" s="3"/>
      <c r="L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>
        <v>1.0</v>
      </c>
      <c r="B2" s="24" t="s">
        <v>157</v>
      </c>
      <c r="C2" s="3"/>
      <c r="E2" s="6" t="s">
        <v>158</v>
      </c>
      <c r="F2" s="6" t="s">
        <v>159</v>
      </c>
      <c r="G2" s="7"/>
      <c r="H2" s="49" t="s">
        <v>160</v>
      </c>
      <c r="I2" s="50" t="s">
        <v>161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</row>
    <row r="3">
      <c r="A3" s="10">
        <v>2.0</v>
      </c>
      <c r="B3" s="24" t="s">
        <v>162</v>
      </c>
      <c r="C3" s="3"/>
      <c r="E3" s="6" t="s">
        <v>163</v>
      </c>
      <c r="F3" s="6" t="s">
        <v>164</v>
      </c>
      <c r="G3" s="7"/>
      <c r="H3" s="34" t="s">
        <v>165</v>
      </c>
      <c r="I3" s="25" t="s">
        <v>166</v>
      </c>
      <c r="L3" s="27" t="s">
        <v>17</v>
      </c>
      <c r="M3" s="29" t="s">
        <v>18</v>
      </c>
      <c r="N3" s="29" t="s">
        <v>75</v>
      </c>
      <c r="O3" s="29" t="s">
        <v>24</v>
      </c>
      <c r="P3" s="29" t="s">
        <v>21</v>
      </c>
      <c r="Q3" s="29" t="s">
        <v>22</v>
      </c>
      <c r="R3" s="41" t="s">
        <v>77</v>
      </c>
      <c r="S3" s="41" t="s">
        <v>25</v>
      </c>
      <c r="T3" s="41" t="s">
        <v>23</v>
      </c>
      <c r="U3" s="42" t="s">
        <v>28</v>
      </c>
      <c r="V3" s="41"/>
      <c r="W3" s="41"/>
      <c r="X3" s="43"/>
      <c r="Y3" s="43"/>
      <c r="Z3" s="43"/>
      <c r="AA3" s="43"/>
      <c r="AB3" s="43"/>
      <c r="AC3" s="43"/>
      <c r="AD3" s="43"/>
    </row>
    <row r="4">
      <c r="A4" s="10">
        <v>3.0</v>
      </c>
      <c r="B4" s="5" t="s">
        <v>167</v>
      </c>
      <c r="C4" s="3"/>
      <c r="E4" s="6" t="s">
        <v>168</v>
      </c>
      <c r="F4" s="6" t="s">
        <v>169</v>
      </c>
      <c r="G4" s="7"/>
      <c r="H4" s="25" t="s">
        <v>170</v>
      </c>
      <c r="I4" s="35" t="s">
        <v>171</v>
      </c>
      <c r="L4" s="41"/>
      <c r="M4" s="41" t="s">
        <v>17</v>
      </c>
      <c r="N4" s="41" t="s">
        <v>17</v>
      </c>
      <c r="O4" s="41" t="s">
        <v>17</v>
      </c>
      <c r="P4" s="41" t="s">
        <v>17</v>
      </c>
      <c r="Q4" s="41" t="s">
        <v>18</v>
      </c>
      <c r="R4" s="41" t="s">
        <v>18</v>
      </c>
      <c r="S4" s="41" t="s">
        <v>75</v>
      </c>
      <c r="T4" s="41" t="s">
        <v>24</v>
      </c>
      <c r="U4" s="41" t="s">
        <v>22</v>
      </c>
      <c r="V4" s="41"/>
      <c r="W4" s="41"/>
      <c r="X4" s="43"/>
      <c r="Y4" s="43"/>
      <c r="Z4" s="43"/>
      <c r="AA4" s="43"/>
      <c r="AB4" s="43"/>
      <c r="AC4" s="43"/>
      <c r="AD4" s="43"/>
    </row>
    <row r="5">
      <c r="A5" s="10">
        <v>4.0</v>
      </c>
      <c r="B5" s="5" t="s">
        <v>172</v>
      </c>
      <c r="C5" s="3"/>
      <c r="E5" s="6" t="s">
        <v>173</v>
      </c>
      <c r="F5" s="6" t="s">
        <v>174</v>
      </c>
      <c r="G5" s="7"/>
      <c r="H5" s="50" t="s">
        <v>175</v>
      </c>
      <c r="I5" s="50" t="s">
        <v>176</v>
      </c>
      <c r="L5" s="43"/>
      <c r="M5" s="41">
        <v>5.0</v>
      </c>
      <c r="N5" s="41">
        <v>5.0</v>
      </c>
      <c r="O5" s="41">
        <v>5.0</v>
      </c>
      <c r="P5" s="41">
        <v>10.0</v>
      </c>
      <c r="Q5" s="41">
        <v>5.0</v>
      </c>
      <c r="R5" s="41">
        <v>4.0</v>
      </c>
      <c r="S5" s="41">
        <v>4.0</v>
      </c>
      <c r="T5" s="41">
        <v>5.0</v>
      </c>
      <c r="U5" s="41">
        <v>5.0</v>
      </c>
      <c r="V5" s="41"/>
      <c r="W5" s="41"/>
      <c r="X5" s="43"/>
      <c r="Y5" s="43"/>
      <c r="Z5" s="43"/>
      <c r="AA5" s="43"/>
      <c r="AB5" s="43"/>
      <c r="AC5" s="43"/>
      <c r="AD5" s="43"/>
    </row>
    <row r="6">
      <c r="A6" s="10">
        <v>5.0</v>
      </c>
      <c r="B6" s="5" t="s">
        <v>177</v>
      </c>
      <c r="C6" s="3"/>
      <c r="E6" s="6" t="s">
        <v>178</v>
      </c>
      <c r="F6" s="6" t="s">
        <v>179</v>
      </c>
      <c r="G6" s="7"/>
      <c r="H6" s="50" t="s">
        <v>180</v>
      </c>
      <c r="I6" s="50" t="s">
        <v>181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10"/>
      <c r="B7" s="13"/>
      <c r="C7" s="3"/>
      <c r="E7" s="6" t="s">
        <v>182</v>
      </c>
      <c r="F7" s="6" t="s">
        <v>183</v>
      </c>
      <c r="G7" s="7"/>
      <c r="H7" s="50" t="s">
        <v>184</v>
      </c>
      <c r="I7" s="35" t="s">
        <v>185</v>
      </c>
      <c r="L7" s="27" t="s">
        <v>17</v>
      </c>
      <c r="M7" s="29" t="s">
        <v>75</v>
      </c>
      <c r="N7" s="29" t="s">
        <v>24</v>
      </c>
      <c r="O7" s="29" t="s">
        <v>21</v>
      </c>
      <c r="P7" s="29" t="s">
        <v>77</v>
      </c>
      <c r="Q7" s="29" t="s">
        <v>25</v>
      </c>
      <c r="R7" s="29" t="s">
        <v>22</v>
      </c>
      <c r="S7" s="29" t="s">
        <v>23</v>
      </c>
      <c r="T7" s="41" t="s">
        <v>76</v>
      </c>
      <c r="U7" s="41" t="s">
        <v>26</v>
      </c>
      <c r="V7" s="42" t="s">
        <v>28</v>
      </c>
      <c r="W7" s="41"/>
      <c r="X7" s="43"/>
      <c r="Y7" s="43"/>
      <c r="Z7" s="43"/>
      <c r="AA7" s="43"/>
      <c r="AB7" s="43"/>
      <c r="AC7" s="43"/>
      <c r="AD7" s="43"/>
    </row>
    <row r="8">
      <c r="A8" s="12"/>
      <c r="B8" s="13"/>
      <c r="C8" s="3"/>
      <c r="E8" s="6" t="s">
        <v>186</v>
      </c>
      <c r="F8" s="6" t="s">
        <v>187</v>
      </c>
      <c r="G8" s="7"/>
      <c r="H8" s="49" t="s">
        <v>188</v>
      </c>
      <c r="I8" s="50" t="s">
        <v>189</v>
      </c>
      <c r="L8" s="41"/>
      <c r="M8" s="41" t="s">
        <v>17</v>
      </c>
      <c r="N8" s="41" t="s">
        <v>17</v>
      </c>
      <c r="O8" s="41" t="s">
        <v>17</v>
      </c>
      <c r="P8" s="41" t="s">
        <v>75</v>
      </c>
      <c r="Q8" s="41" t="s">
        <v>75</v>
      </c>
      <c r="R8" s="41" t="s">
        <v>24</v>
      </c>
      <c r="S8" s="41" t="s">
        <v>24</v>
      </c>
      <c r="T8" s="41" t="s">
        <v>77</v>
      </c>
      <c r="U8" s="41" t="s">
        <v>25</v>
      </c>
      <c r="V8" s="41" t="s">
        <v>23</v>
      </c>
      <c r="W8" s="41"/>
      <c r="X8" s="43"/>
      <c r="Y8" s="43"/>
      <c r="Z8" s="43"/>
      <c r="AA8" s="43"/>
      <c r="AB8" s="43"/>
      <c r="AC8" s="43"/>
      <c r="AD8" s="43"/>
    </row>
    <row r="9">
      <c r="A9" s="12"/>
      <c r="B9" s="13"/>
      <c r="C9" s="3"/>
      <c r="E9" s="6" t="s">
        <v>190</v>
      </c>
      <c r="F9" s="6" t="s">
        <v>191</v>
      </c>
      <c r="G9" s="7"/>
      <c r="H9" s="34" t="s">
        <v>192</v>
      </c>
      <c r="I9" s="35" t="s">
        <v>193</v>
      </c>
      <c r="L9" s="43"/>
      <c r="M9" s="41">
        <v>5.0</v>
      </c>
      <c r="N9" s="41">
        <v>5.0</v>
      </c>
      <c r="O9" s="41">
        <v>10.0</v>
      </c>
      <c r="P9" s="41">
        <v>5.0</v>
      </c>
      <c r="Q9" s="41">
        <v>4.0</v>
      </c>
      <c r="R9" s="41">
        <v>4.0</v>
      </c>
      <c r="S9" s="41">
        <v>5.0</v>
      </c>
      <c r="T9" s="41">
        <v>5.0</v>
      </c>
      <c r="U9" s="41">
        <v>4.0</v>
      </c>
      <c r="V9" s="41">
        <v>5.0</v>
      </c>
      <c r="W9" s="41"/>
      <c r="X9" s="43"/>
      <c r="Y9" s="43"/>
      <c r="Z9" s="43"/>
      <c r="AA9" s="43"/>
      <c r="AB9" s="43"/>
      <c r="AC9" s="43"/>
      <c r="AD9" s="43"/>
    </row>
    <row r="10">
      <c r="A10" s="14" t="s">
        <v>137</v>
      </c>
      <c r="B10" s="15">
        <f>5+5+5+4+4</f>
        <v>23</v>
      </c>
      <c r="C10" s="3"/>
      <c r="E10" s="6" t="s">
        <v>194</v>
      </c>
      <c r="F10" s="6" t="s">
        <v>195</v>
      </c>
      <c r="G10" s="7"/>
      <c r="H10" s="6" t="s">
        <v>194</v>
      </c>
      <c r="I10" s="6" t="s">
        <v>195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E11" s="6" t="s">
        <v>196</v>
      </c>
      <c r="F11" s="6" t="s">
        <v>197</v>
      </c>
      <c r="G11" s="7"/>
      <c r="H11" s="50" t="s">
        <v>198</v>
      </c>
      <c r="I11" s="35" t="s">
        <v>199</v>
      </c>
      <c r="L11" s="27" t="s">
        <v>17</v>
      </c>
      <c r="M11" s="29" t="s">
        <v>75</v>
      </c>
      <c r="N11" s="29" t="s">
        <v>21</v>
      </c>
      <c r="O11" s="29" t="s">
        <v>77</v>
      </c>
      <c r="P11" s="29" t="s">
        <v>25</v>
      </c>
      <c r="Q11" s="29" t="s">
        <v>23</v>
      </c>
      <c r="R11" s="29" t="s">
        <v>76</v>
      </c>
      <c r="S11" s="29" t="s">
        <v>26</v>
      </c>
      <c r="T11" s="29" t="s">
        <v>24</v>
      </c>
      <c r="U11" s="29" t="s">
        <v>19</v>
      </c>
      <c r="V11" s="29" t="s">
        <v>74</v>
      </c>
      <c r="W11" s="41" t="s">
        <v>20</v>
      </c>
      <c r="X11" s="41" t="s">
        <v>22</v>
      </c>
      <c r="Y11" s="41" t="s">
        <v>200</v>
      </c>
      <c r="Z11" s="42" t="s">
        <v>28</v>
      </c>
      <c r="AA11" s="43"/>
      <c r="AB11" s="43"/>
      <c r="AC11" s="43"/>
      <c r="AD11" s="43"/>
    </row>
    <row r="12">
      <c r="E12" s="6" t="s">
        <v>201</v>
      </c>
      <c r="F12" s="16"/>
      <c r="G12" s="7"/>
      <c r="H12" s="34" t="s">
        <v>202</v>
      </c>
      <c r="I12" s="16"/>
      <c r="L12" s="41"/>
      <c r="M12" s="41" t="s">
        <v>17</v>
      </c>
      <c r="N12" s="41" t="s">
        <v>17</v>
      </c>
      <c r="O12" s="41" t="s">
        <v>75</v>
      </c>
      <c r="P12" s="41" t="s">
        <v>75</v>
      </c>
      <c r="Q12" s="41" t="s">
        <v>21</v>
      </c>
      <c r="R12" s="41" t="s">
        <v>77</v>
      </c>
      <c r="S12" s="41" t="s">
        <v>25</v>
      </c>
      <c r="T12" s="41" t="s">
        <v>203</v>
      </c>
      <c r="U12" s="41" t="s">
        <v>76</v>
      </c>
      <c r="V12" s="41" t="s">
        <v>76</v>
      </c>
      <c r="W12" s="41" t="s">
        <v>26</v>
      </c>
      <c r="X12" s="41" t="s">
        <v>24</v>
      </c>
      <c r="Y12" s="41" t="s">
        <v>19</v>
      </c>
      <c r="Z12" s="41" t="s">
        <v>74</v>
      </c>
      <c r="AA12" s="43"/>
      <c r="AB12" s="43"/>
      <c r="AC12" s="43"/>
      <c r="AD12" s="43"/>
    </row>
    <row r="13">
      <c r="E13" s="6" t="s">
        <v>204</v>
      </c>
      <c r="F13" s="16"/>
      <c r="G13" s="7"/>
      <c r="H13" s="50" t="s">
        <v>205</v>
      </c>
      <c r="I13" s="16"/>
      <c r="L13" s="43"/>
      <c r="M13" s="41">
        <v>5.0</v>
      </c>
      <c r="N13" s="41">
        <v>10.0</v>
      </c>
      <c r="O13" s="41">
        <v>5.0</v>
      </c>
      <c r="P13" s="41">
        <v>4.0</v>
      </c>
      <c r="Q13" s="41">
        <v>10.0</v>
      </c>
      <c r="R13" s="41">
        <v>5.0</v>
      </c>
      <c r="S13" s="41">
        <v>4.0</v>
      </c>
      <c r="T13" s="41">
        <v>5.0</v>
      </c>
      <c r="U13" s="41">
        <v>5.0</v>
      </c>
      <c r="V13" s="41">
        <v>5.0</v>
      </c>
      <c r="W13" s="41">
        <v>4.0</v>
      </c>
      <c r="X13" s="41">
        <v>4.0</v>
      </c>
      <c r="Y13" s="41">
        <v>5.0</v>
      </c>
      <c r="Z13" s="41">
        <v>5.0</v>
      </c>
      <c r="AA13" s="43"/>
      <c r="AB13" s="43"/>
      <c r="AC13" s="43"/>
      <c r="AD13" s="43"/>
    </row>
    <row r="14">
      <c r="E14" s="6" t="s">
        <v>206</v>
      </c>
      <c r="F14" s="16"/>
      <c r="G14" s="7"/>
      <c r="H14" s="50" t="s">
        <v>207</v>
      </c>
      <c r="I14" s="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E15" s="6" t="s">
        <v>208</v>
      </c>
      <c r="F15" s="16"/>
      <c r="G15" s="7"/>
      <c r="H15" s="50" t="s">
        <v>209</v>
      </c>
      <c r="I15" s="16"/>
      <c r="L15" s="27" t="s">
        <v>17</v>
      </c>
      <c r="M15" s="29" t="s">
        <v>21</v>
      </c>
      <c r="N15" s="29" t="s">
        <v>23</v>
      </c>
      <c r="O15" s="29" t="s">
        <v>25</v>
      </c>
      <c r="P15" s="29" t="s">
        <v>24</v>
      </c>
      <c r="Q15" s="29" t="s">
        <v>26</v>
      </c>
      <c r="R15" s="29" t="s">
        <v>22</v>
      </c>
      <c r="S15" s="41" t="s">
        <v>74</v>
      </c>
      <c r="T15" s="41" t="s">
        <v>20</v>
      </c>
      <c r="U15" s="41" t="s">
        <v>18</v>
      </c>
      <c r="V15" s="42" t="s">
        <v>28</v>
      </c>
      <c r="W15" s="41"/>
      <c r="X15" s="41"/>
      <c r="Y15" s="41"/>
      <c r="Z15" s="41"/>
      <c r="AA15" s="43"/>
      <c r="AB15" s="43"/>
      <c r="AC15" s="43"/>
      <c r="AD15" s="43"/>
    </row>
    <row r="16">
      <c r="L16" s="41"/>
      <c r="M16" s="41" t="s">
        <v>17</v>
      </c>
      <c r="N16" s="41" t="s">
        <v>21</v>
      </c>
      <c r="O16" s="41" t="s">
        <v>23</v>
      </c>
      <c r="P16" s="41" t="s">
        <v>203</v>
      </c>
      <c r="Q16" s="41" t="s">
        <v>25</v>
      </c>
      <c r="R16" s="41" t="s">
        <v>24</v>
      </c>
      <c r="S16" s="41" t="s">
        <v>26</v>
      </c>
      <c r="T16" s="41" t="s">
        <v>26</v>
      </c>
      <c r="U16" s="41" t="s">
        <v>79</v>
      </c>
      <c r="V16" s="41" t="s">
        <v>74</v>
      </c>
      <c r="W16" s="41"/>
      <c r="X16" s="41"/>
      <c r="Y16" s="41"/>
      <c r="Z16" s="41"/>
      <c r="AA16" s="43"/>
      <c r="AB16" s="43"/>
      <c r="AC16" s="43"/>
      <c r="AD16" s="43"/>
    </row>
    <row r="17">
      <c r="L17" s="43"/>
      <c r="M17" s="41">
        <v>10.0</v>
      </c>
      <c r="N17" s="41">
        <v>10.0</v>
      </c>
      <c r="O17" s="41">
        <v>5.0</v>
      </c>
      <c r="P17" s="41">
        <v>5.0</v>
      </c>
      <c r="Q17" s="41">
        <v>4.0</v>
      </c>
      <c r="R17" s="41">
        <v>4.0</v>
      </c>
      <c r="S17" s="41">
        <v>4.0</v>
      </c>
      <c r="T17" s="41">
        <v>4.0</v>
      </c>
      <c r="U17" s="41">
        <v>4.0</v>
      </c>
      <c r="V17" s="41">
        <v>4.0</v>
      </c>
      <c r="W17" s="41"/>
      <c r="X17" s="41"/>
      <c r="Y17" s="41"/>
      <c r="Z17" s="41"/>
      <c r="AA17" s="43"/>
      <c r="AB17" s="43"/>
      <c r="AC17" s="43"/>
      <c r="AD17" s="43"/>
    </row>
    <row r="18">
      <c r="D18" s="1" t="s">
        <v>4</v>
      </c>
      <c r="E18" s="2"/>
      <c r="F18" s="3"/>
      <c r="G18" s="1" t="s">
        <v>5</v>
      </c>
      <c r="H18" s="2"/>
      <c r="I18" s="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D19" s="17" t="s">
        <v>6</v>
      </c>
      <c r="E19" s="18" t="s">
        <v>210</v>
      </c>
      <c r="F19" s="3"/>
      <c r="G19" s="19" t="s">
        <v>211</v>
      </c>
      <c r="H19" s="2"/>
      <c r="I19" s="3"/>
      <c r="L19" s="27" t="s">
        <v>17</v>
      </c>
      <c r="M19" s="29" t="s">
        <v>21</v>
      </c>
      <c r="N19" s="29" t="s">
        <v>23</v>
      </c>
      <c r="O19" s="29" t="s">
        <v>25</v>
      </c>
      <c r="P19" s="29" t="s">
        <v>24</v>
      </c>
      <c r="Q19" s="29" t="s">
        <v>22</v>
      </c>
      <c r="R19" s="29" t="s">
        <v>18</v>
      </c>
      <c r="S19" s="29" t="s">
        <v>77</v>
      </c>
      <c r="T19" s="29" t="s">
        <v>76</v>
      </c>
      <c r="U19" s="29" t="s">
        <v>19</v>
      </c>
      <c r="V19" s="29" t="s">
        <v>200</v>
      </c>
      <c r="W19" s="29" t="s">
        <v>20</v>
      </c>
      <c r="X19" s="42" t="s">
        <v>28</v>
      </c>
      <c r="Y19" s="41"/>
      <c r="Z19" s="41"/>
      <c r="AA19" s="43"/>
      <c r="AB19" s="43"/>
      <c r="AC19" s="43"/>
      <c r="AD19" s="43"/>
    </row>
    <row r="20">
      <c r="D20" s="17" t="s">
        <v>7</v>
      </c>
      <c r="E20" s="1">
        <f>5+5+5+4+4</f>
        <v>23</v>
      </c>
      <c r="F20" s="3"/>
      <c r="L20" s="41"/>
      <c r="M20" s="41" t="s">
        <v>17</v>
      </c>
      <c r="N20" s="41" t="s">
        <v>21</v>
      </c>
      <c r="O20" s="41" t="s">
        <v>23</v>
      </c>
      <c r="P20" s="41" t="s">
        <v>203</v>
      </c>
      <c r="Q20" s="41" t="s">
        <v>24</v>
      </c>
      <c r="R20" s="41" t="s">
        <v>79</v>
      </c>
      <c r="S20" s="41" t="s">
        <v>18</v>
      </c>
      <c r="T20" s="41" t="s">
        <v>77</v>
      </c>
      <c r="U20" s="41" t="s">
        <v>76</v>
      </c>
      <c r="V20" s="41" t="s">
        <v>19</v>
      </c>
      <c r="W20" s="41" t="s">
        <v>200</v>
      </c>
      <c r="X20" s="41" t="s">
        <v>20</v>
      </c>
      <c r="Y20" s="41"/>
      <c r="Z20" s="41"/>
      <c r="AA20" s="43"/>
      <c r="AB20" s="43"/>
      <c r="AC20" s="43"/>
      <c r="AD20" s="43"/>
    </row>
    <row r="21">
      <c r="L21" s="43"/>
      <c r="M21" s="41">
        <v>6.0</v>
      </c>
      <c r="N21" s="41">
        <v>6.0</v>
      </c>
      <c r="O21" s="41">
        <v>1.0</v>
      </c>
      <c r="P21" s="41">
        <v>5.0</v>
      </c>
      <c r="Q21" s="41">
        <v>4.0</v>
      </c>
      <c r="R21" s="41">
        <v>4.0</v>
      </c>
      <c r="S21" s="41">
        <v>4.0</v>
      </c>
      <c r="T21" s="41">
        <v>4.0</v>
      </c>
      <c r="U21" s="41">
        <v>4.0</v>
      </c>
      <c r="V21" s="41">
        <v>4.0</v>
      </c>
      <c r="W21" s="41">
        <v>4.0</v>
      </c>
      <c r="X21" s="41">
        <v>4.0</v>
      </c>
      <c r="Y21" s="41"/>
      <c r="Z21" s="41"/>
      <c r="AA21" s="43"/>
      <c r="AB21" s="43"/>
      <c r="AC21" s="43"/>
      <c r="AD21" s="43"/>
    </row>
    <row r="22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L23" s="27" t="s">
        <v>17</v>
      </c>
      <c r="M23" s="29" t="s">
        <v>21</v>
      </c>
      <c r="N23" s="29" t="s">
        <v>23</v>
      </c>
      <c r="O23" s="29" t="s">
        <v>25</v>
      </c>
      <c r="P23" s="29" t="s">
        <v>24</v>
      </c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3"/>
      <c r="AB23" s="43"/>
      <c r="AC23" s="43"/>
      <c r="AD23" s="43"/>
    </row>
    <row r="24">
      <c r="L24" s="41"/>
      <c r="M24" s="41" t="s">
        <v>17</v>
      </c>
      <c r="N24" s="41" t="s">
        <v>21</v>
      </c>
      <c r="O24" s="41" t="s">
        <v>23</v>
      </c>
      <c r="P24" s="41" t="s">
        <v>203</v>
      </c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3"/>
      <c r="AB24" s="43"/>
      <c r="AC24" s="43"/>
      <c r="AD24" s="43"/>
    </row>
    <row r="25">
      <c r="L25" s="43"/>
      <c r="M25" s="41">
        <v>2.0</v>
      </c>
      <c r="N25" s="41">
        <v>2.0</v>
      </c>
      <c r="O25" s="41">
        <v>1.0</v>
      </c>
      <c r="P25" s="41">
        <v>1.0</v>
      </c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3"/>
      <c r="AB25" s="43"/>
      <c r="AC25" s="43"/>
      <c r="AD25" s="43"/>
    </row>
    <row r="26"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L27" s="51" t="s">
        <v>156</v>
      </c>
      <c r="M27" s="2"/>
      <c r="N27" s="2"/>
      <c r="O27" s="2"/>
      <c r="P27" s="3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L28" s="51" t="s">
        <v>85</v>
      </c>
      <c r="M28" s="2"/>
      <c r="N28" s="2"/>
      <c r="O28" s="2"/>
      <c r="P28" s="3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</sheetData>
  <mergeCells count="22">
    <mergeCell ref="A1:C1"/>
    <mergeCell ref="E1:F1"/>
    <mergeCell ref="H1:I1"/>
    <mergeCell ref="L1:X1"/>
    <mergeCell ref="B2:C2"/>
    <mergeCell ref="B3:C3"/>
    <mergeCell ref="B4:C4"/>
    <mergeCell ref="D18:F18"/>
    <mergeCell ref="E19:F19"/>
    <mergeCell ref="G19:I19"/>
    <mergeCell ref="E20:F20"/>
    <mergeCell ref="E21:F21"/>
    <mergeCell ref="E22:F22"/>
    <mergeCell ref="L27:P27"/>
    <mergeCell ref="L28:P28"/>
    <mergeCell ref="B5:C5"/>
    <mergeCell ref="B6:C6"/>
    <mergeCell ref="B7:C7"/>
    <mergeCell ref="B8:C8"/>
    <mergeCell ref="B9:C9"/>
    <mergeCell ref="B10:C10"/>
    <mergeCell ref="G18:I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7" max="7" width="5.0"/>
    <col customWidth="1" min="8" max="8" width="13.25"/>
    <col customWidth="1" min="9" max="9" width="14.38"/>
    <col customWidth="1" min="10" max="11" width="5.0"/>
    <col customWidth="1" min="12" max="12" width="4.88"/>
    <col customWidth="1" min="13" max="13" width="5.38"/>
    <col customWidth="1" min="14" max="14" width="5.13"/>
    <col customWidth="1" min="15" max="16" width="5.25"/>
    <col customWidth="1" min="17" max="18" width="5.13"/>
    <col customWidth="1" min="19" max="19" width="5.5"/>
    <col customWidth="1" min="20" max="21" width="4.88"/>
    <col customWidth="1" min="22" max="22" width="4.75"/>
    <col customWidth="1" min="23" max="23" width="4.88"/>
    <col customWidth="1" min="24" max="24" width="5.13"/>
    <col customWidth="1" min="25" max="25" width="5.75"/>
    <col customWidth="1" min="26" max="30" width="4.75"/>
  </cols>
  <sheetData>
    <row r="1">
      <c r="A1" s="1" t="s">
        <v>0</v>
      </c>
      <c r="B1" s="2"/>
      <c r="C1" s="3"/>
      <c r="E1" s="1" t="s">
        <v>1</v>
      </c>
      <c r="F1" s="3"/>
      <c r="H1" s="1" t="s">
        <v>2</v>
      </c>
      <c r="I1" s="3"/>
      <c r="L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>
        <v>1.0</v>
      </c>
      <c r="B2" s="24" t="s">
        <v>212</v>
      </c>
      <c r="C2" s="3"/>
      <c r="E2" s="6" t="s">
        <v>213</v>
      </c>
      <c r="F2" s="6" t="s">
        <v>214</v>
      </c>
      <c r="G2" s="7"/>
      <c r="H2" s="25" t="s">
        <v>215</v>
      </c>
      <c r="I2" s="6" t="s">
        <v>214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</row>
    <row r="3">
      <c r="A3" s="10">
        <v>2.0</v>
      </c>
      <c r="B3" s="24" t="s">
        <v>216</v>
      </c>
      <c r="C3" s="3"/>
      <c r="E3" s="6" t="s">
        <v>217</v>
      </c>
      <c r="F3" s="6" t="s">
        <v>218</v>
      </c>
      <c r="G3" s="7"/>
      <c r="H3" s="34" t="s">
        <v>219</v>
      </c>
      <c r="I3" s="52" t="s">
        <v>220</v>
      </c>
      <c r="L3" s="27" t="s">
        <v>17</v>
      </c>
      <c r="M3" s="29" t="s">
        <v>18</v>
      </c>
      <c r="N3" s="29" t="s">
        <v>21</v>
      </c>
      <c r="O3" s="29" t="s">
        <v>22</v>
      </c>
      <c r="P3" s="29" t="s">
        <v>23</v>
      </c>
      <c r="Q3" s="29" t="s">
        <v>200</v>
      </c>
      <c r="R3" s="29" t="s">
        <v>75</v>
      </c>
      <c r="S3" s="29" t="s">
        <v>74</v>
      </c>
      <c r="T3" s="29" t="s">
        <v>76</v>
      </c>
      <c r="U3" s="29" t="s">
        <v>19</v>
      </c>
      <c r="V3" s="29" t="s">
        <v>20</v>
      </c>
      <c r="W3" s="29" t="s">
        <v>77</v>
      </c>
      <c r="X3" s="29" t="s">
        <v>24</v>
      </c>
      <c r="Y3" s="41" t="s">
        <v>25</v>
      </c>
      <c r="Z3" s="41" t="s">
        <v>26</v>
      </c>
      <c r="AA3" s="42" t="s">
        <v>28</v>
      </c>
      <c r="AB3" s="43"/>
      <c r="AC3" s="43"/>
      <c r="AD3" s="43"/>
    </row>
    <row r="4">
      <c r="A4" s="10">
        <v>3.0</v>
      </c>
      <c r="B4" s="5" t="s">
        <v>221</v>
      </c>
      <c r="C4" s="3"/>
      <c r="E4" s="6" t="s">
        <v>222</v>
      </c>
      <c r="F4" s="6" t="s">
        <v>223</v>
      </c>
      <c r="G4" s="7"/>
      <c r="H4" s="34" t="s">
        <v>224</v>
      </c>
      <c r="I4" s="6" t="s">
        <v>223</v>
      </c>
      <c r="L4" s="41"/>
      <c r="M4" s="41" t="s">
        <v>17</v>
      </c>
      <c r="N4" s="41" t="s">
        <v>17</v>
      </c>
      <c r="O4" s="41" t="s">
        <v>18</v>
      </c>
      <c r="P4" s="41" t="s">
        <v>18</v>
      </c>
      <c r="Q4" s="41" t="s">
        <v>21</v>
      </c>
      <c r="R4" s="41" t="s">
        <v>22</v>
      </c>
      <c r="S4" s="41" t="s">
        <v>23</v>
      </c>
      <c r="T4" s="41" t="s">
        <v>75</v>
      </c>
      <c r="U4" s="41" t="s">
        <v>76</v>
      </c>
      <c r="V4" s="41" t="s">
        <v>76</v>
      </c>
      <c r="W4" s="41" t="s">
        <v>76</v>
      </c>
      <c r="X4" s="41" t="s">
        <v>19</v>
      </c>
      <c r="Y4" s="41" t="s">
        <v>19</v>
      </c>
      <c r="Z4" s="41" t="s">
        <v>20</v>
      </c>
      <c r="AA4" s="41" t="s">
        <v>24</v>
      </c>
      <c r="AB4" s="43"/>
      <c r="AC4" s="43"/>
      <c r="AD4" s="43"/>
    </row>
    <row r="5">
      <c r="A5" s="10"/>
      <c r="B5" s="5"/>
      <c r="C5" s="3"/>
      <c r="E5" s="6" t="s">
        <v>225</v>
      </c>
      <c r="F5" s="6" t="s">
        <v>226</v>
      </c>
      <c r="G5" s="7"/>
      <c r="H5" s="34" t="s">
        <v>227</v>
      </c>
      <c r="I5" s="34" t="s">
        <v>228</v>
      </c>
      <c r="L5" s="43"/>
      <c r="M5" s="41">
        <v>20.0</v>
      </c>
      <c r="N5" s="41">
        <v>10.0</v>
      </c>
      <c r="O5" s="41">
        <v>20.0</v>
      </c>
      <c r="P5" s="41">
        <v>10.0</v>
      </c>
      <c r="Q5" s="41">
        <v>10.0</v>
      </c>
      <c r="R5" s="41">
        <v>20.0</v>
      </c>
      <c r="S5" s="41">
        <v>4.0</v>
      </c>
      <c r="T5" s="41">
        <v>20.0</v>
      </c>
      <c r="U5" s="41">
        <v>10.0</v>
      </c>
      <c r="V5" s="41">
        <v>10.0</v>
      </c>
      <c r="W5" s="41">
        <v>10.0</v>
      </c>
      <c r="X5" s="41">
        <v>10.0</v>
      </c>
      <c r="Y5" s="41">
        <v>5.0</v>
      </c>
      <c r="Z5" s="41">
        <v>5.0</v>
      </c>
      <c r="AA5" s="41">
        <v>10.0</v>
      </c>
      <c r="AB5" s="43"/>
      <c r="AC5" s="43"/>
      <c r="AD5" s="43"/>
    </row>
    <row r="6">
      <c r="A6" s="10"/>
      <c r="B6" s="5"/>
      <c r="C6" s="3"/>
      <c r="E6" s="6" t="s">
        <v>229</v>
      </c>
      <c r="F6" s="6" t="s">
        <v>230</v>
      </c>
      <c r="G6" s="7"/>
      <c r="H6" s="25" t="s">
        <v>231</v>
      </c>
      <c r="I6" s="52" t="s">
        <v>232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12"/>
      <c r="B7" s="13"/>
      <c r="C7" s="3"/>
      <c r="E7" s="6" t="s">
        <v>233</v>
      </c>
      <c r="F7" s="6" t="s">
        <v>234</v>
      </c>
      <c r="G7" s="7"/>
      <c r="H7" s="34" t="s">
        <v>235</v>
      </c>
      <c r="I7" s="25" t="s">
        <v>236</v>
      </c>
      <c r="L7" s="27" t="s">
        <v>17</v>
      </c>
      <c r="M7" s="29" t="s">
        <v>18</v>
      </c>
      <c r="N7" s="29" t="s">
        <v>21</v>
      </c>
      <c r="O7" s="29" t="s">
        <v>22</v>
      </c>
      <c r="P7" s="29" t="s">
        <v>23</v>
      </c>
      <c r="Q7" s="29" t="s">
        <v>200</v>
      </c>
      <c r="R7" s="29" t="s">
        <v>75</v>
      </c>
      <c r="S7" s="29" t="s">
        <v>74</v>
      </c>
      <c r="T7" s="29" t="s">
        <v>76</v>
      </c>
      <c r="U7" s="29" t="s">
        <v>20</v>
      </c>
      <c r="V7" s="29" t="s">
        <v>77</v>
      </c>
      <c r="W7" s="29" t="s">
        <v>25</v>
      </c>
      <c r="X7" s="41" t="s">
        <v>26</v>
      </c>
      <c r="Y7" s="41" t="s">
        <v>24</v>
      </c>
      <c r="Z7" s="42" t="s">
        <v>28</v>
      </c>
      <c r="AA7" s="41"/>
      <c r="AB7" s="43"/>
      <c r="AC7" s="43"/>
      <c r="AD7" s="43"/>
    </row>
    <row r="8">
      <c r="A8" s="12"/>
      <c r="B8" s="13"/>
      <c r="C8" s="3"/>
      <c r="E8" s="6" t="s">
        <v>237</v>
      </c>
      <c r="F8" s="6" t="s">
        <v>238</v>
      </c>
      <c r="G8" s="7"/>
      <c r="H8" s="26" t="s">
        <v>239</v>
      </c>
      <c r="I8" s="52" t="s">
        <v>240</v>
      </c>
      <c r="L8" s="41"/>
      <c r="M8" s="41" t="s">
        <v>17</v>
      </c>
      <c r="N8" s="41" t="s">
        <v>17</v>
      </c>
      <c r="O8" s="41" t="s">
        <v>18</v>
      </c>
      <c r="P8" s="41" t="s">
        <v>18</v>
      </c>
      <c r="Q8" s="41" t="s">
        <v>21</v>
      </c>
      <c r="R8" s="41" t="s">
        <v>22</v>
      </c>
      <c r="S8" s="41" t="s">
        <v>23</v>
      </c>
      <c r="T8" s="41" t="s">
        <v>75</v>
      </c>
      <c r="U8" s="41" t="s">
        <v>76</v>
      </c>
      <c r="V8" s="41" t="s">
        <v>76</v>
      </c>
      <c r="W8" s="41" t="s">
        <v>20</v>
      </c>
      <c r="X8" s="41" t="s">
        <v>20</v>
      </c>
      <c r="Y8" s="41" t="s">
        <v>77</v>
      </c>
      <c r="Z8" s="41" t="s">
        <v>25</v>
      </c>
      <c r="AA8" s="41"/>
      <c r="AB8" s="43"/>
      <c r="AC8" s="43"/>
      <c r="AD8" s="43"/>
    </row>
    <row r="9">
      <c r="A9" s="12"/>
      <c r="B9" s="13"/>
      <c r="C9" s="3"/>
      <c r="E9" s="6" t="s">
        <v>241</v>
      </c>
      <c r="F9" s="6" t="s">
        <v>242</v>
      </c>
      <c r="G9" s="7"/>
      <c r="H9" s="25" t="s">
        <v>243</v>
      </c>
      <c r="I9" s="34" t="s">
        <v>244</v>
      </c>
      <c r="L9" s="43"/>
      <c r="M9" s="41">
        <v>10.0</v>
      </c>
      <c r="N9" s="41">
        <v>10.0</v>
      </c>
      <c r="O9" s="41">
        <v>10.0</v>
      </c>
      <c r="P9" s="41">
        <v>10.0</v>
      </c>
      <c r="Q9" s="41">
        <v>10.0</v>
      </c>
      <c r="R9" s="41">
        <v>10.0</v>
      </c>
      <c r="S9" s="41">
        <v>4.0</v>
      </c>
      <c r="T9" s="41">
        <v>10.0</v>
      </c>
      <c r="U9" s="41">
        <v>10.0</v>
      </c>
      <c r="V9" s="41">
        <v>10.0</v>
      </c>
      <c r="W9" s="41">
        <v>10.0</v>
      </c>
      <c r="X9" s="41">
        <v>5.0</v>
      </c>
      <c r="Y9" s="41">
        <v>5.0</v>
      </c>
      <c r="Z9" s="41">
        <v>10.0</v>
      </c>
      <c r="AA9" s="41"/>
      <c r="AB9" s="43"/>
      <c r="AC9" s="43"/>
      <c r="AD9" s="43"/>
    </row>
    <row r="10">
      <c r="A10" s="14" t="s">
        <v>137</v>
      </c>
      <c r="B10" s="47">
        <v>24.0</v>
      </c>
      <c r="C10" s="3"/>
      <c r="E10" s="6" t="s">
        <v>245</v>
      </c>
      <c r="F10" s="6" t="s">
        <v>246</v>
      </c>
      <c r="G10" s="7"/>
      <c r="H10" s="34" t="s">
        <v>247</v>
      </c>
      <c r="I10" s="6" t="s">
        <v>246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E11" s="6" t="s">
        <v>248</v>
      </c>
      <c r="F11" s="6"/>
      <c r="G11" s="7"/>
      <c r="H11" s="26" t="s">
        <v>249</v>
      </c>
      <c r="I11" s="6"/>
      <c r="L11" s="27" t="s">
        <v>17</v>
      </c>
      <c r="M11" s="29" t="s">
        <v>21</v>
      </c>
      <c r="N11" s="29" t="s">
        <v>200</v>
      </c>
      <c r="O11" s="29" t="s">
        <v>22</v>
      </c>
      <c r="P11" s="29" t="s">
        <v>18</v>
      </c>
      <c r="Q11" s="29" t="s">
        <v>23</v>
      </c>
      <c r="R11" s="29" t="s">
        <v>74</v>
      </c>
      <c r="S11" s="29" t="s">
        <v>75</v>
      </c>
      <c r="T11" s="29" t="s">
        <v>76</v>
      </c>
      <c r="U11" s="29" t="s">
        <v>77</v>
      </c>
      <c r="V11" s="29" t="s">
        <v>24</v>
      </c>
      <c r="W11" s="29" t="s">
        <v>26</v>
      </c>
      <c r="X11" s="41" t="s">
        <v>19</v>
      </c>
      <c r="Y11" s="42" t="s">
        <v>28</v>
      </c>
      <c r="Z11" s="41"/>
      <c r="AA11" s="41"/>
      <c r="AB11" s="43"/>
      <c r="AC11" s="43"/>
      <c r="AD11" s="43"/>
    </row>
    <row r="12">
      <c r="E12" s="6" t="s">
        <v>250</v>
      </c>
      <c r="F12" s="16"/>
      <c r="G12" s="7"/>
      <c r="H12" s="6" t="s">
        <v>250</v>
      </c>
      <c r="I12" s="16"/>
      <c r="L12" s="41"/>
      <c r="M12" s="41" t="s">
        <v>17</v>
      </c>
      <c r="N12" s="41" t="s">
        <v>21</v>
      </c>
      <c r="O12" s="41" t="s">
        <v>200</v>
      </c>
      <c r="P12" s="41" t="s">
        <v>79</v>
      </c>
      <c r="Q12" s="41" t="s">
        <v>18</v>
      </c>
      <c r="R12" s="41" t="s">
        <v>23</v>
      </c>
      <c r="S12" s="41" t="s">
        <v>74</v>
      </c>
      <c r="T12" s="41" t="s">
        <v>75</v>
      </c>
      <c r="U12" s="41" t="s">
        <v>76</v>
      </c>
      <c r="V12" s="41" t="s">
        <v>77</v>
      </c>
      <c r="W12" s="41" t="s">
        <v>77</v>
      </c>
      <c r="X12" s="41" t="s">
        <v>82</v>
      </c>
      <c r="Y12" s="41" t="s">
        <v>26</v>
      </c>
      <c r="Z12" s="41"/>
      <c r="AA12" s="41"/>
      <c r="AB12" s="43"/>
      <c r="AC12" s="43"/>
      <c r="AD12" s="43"/>
    </row>
    <row r="13">
      <c r="E13" s="6" t="s">
        <v>251</v>
      </c>
      <c r="F13" s="16"/>
      <c r="G13" s="7"/>
      <c r="H13" s="26" t="s">
        <v>252</v>
      </c>
      <c r="I13" s="16"/>
      <c r="L13" s="43"/>
      <c r="M13" s="41">
        <v>10.0</v>
      </c>
      <c r="N13" s="41">
        <v>10.0</v>
      </c>
      <c r="O13" s="41">
        <v>5.0</v>
      </c>
      <c r="P13" s="41">
        <v>5.0</v>
      </c>
      <c r="Q13" s="41">
        <v>5.0</v>
      </c>
      <c r="R13" s="41">
        <v>4.0</v>
      </c>
      <c r="S13" s="41">
        <v>4.0</v>
      </c>
      <c r="T13" s="41">
        <v>4.0</v>
      </c>
      <c r="U13" s="41">
        <v>4.0</v>
      </c>
      <c r="V13" s="41">
        <v>4.0</v>
      </c>
      <c r="W13" s="41">
        <v>4.0</v>
      </c>
      <c r="X13" s="41">
        <v>4.0</v>
      </c>
      <c r="Y13" s="41">
        <v>4.0</v>
      </c>
      <c r="Z13" s="41"/>
      <c r="AA13" s="41"/>
      <c r="AB13" s="43"/>
      <c r="AC13" s="43"/>
      <c r="AD13" s="43"/>
    </row>
    <row r="14">
      <c r="E14" s="6" t="s">
        <v>253</v>
      </c>
      <c r="F14" s="16"/>
      <c r="G14" s="7"/>
      <c r="H14" s="25" t="s">
        <v>254</v>
      </c>
      <c r="I14" s="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E15" s="6" t="s">
        <v>255</v>
      </c>
      <c r="F15" s="16"/>
      <c r="G15" s="7"/>
      <c r="H15" s="6" t="s">
        <v>255</v>
      </c>
      <c r="I15" s="16"/>
      <c r="L15" s="27" t="s">
        <v>17</v>
      </c>
      <c r="M15" s="29" t="s">
        <v>21</v>
      </c>
      <c r="N15" s="29" t="s">
        <v>200</v>
      </c>
      <c r="O15" s="29" t="s">
        <v>22</v>
      </c>
      <c r="P15" s="29" t="s">
        <v>18</v>
      </c>
      <c r="Q15" s="29" t="s">
        <v>23</v>
      </c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3"/>
      <c r="AC15" s="43"/>
      <c r="AD15" s="43"/>
    </row>
    <row r="16">
      <c r="L16" s="41"/>
      <c r="M16" s="41" t="s">
        <v>17</v>
      </c>
      <c r="N16" s="41" t="s">
        <v>21</v>
      </c>
      <c r="O16" s="41" t="s">
        <v>200</v>
      </c>
      <c r="P16" s="41" t="s">
        <v>79</v>
      </c>
      <c r="Q16" s="41" t="s">
        <v>18</v>
      </c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3"/>
      <c r="AC16" s="43"/>
      <c r="AD16" s="43"/>
    </row>
    <row r="17">
      <c r="L17" s="43"/>
      <c r="M17" s="41">
        <v>6.0</v>
      </c>
      <c r="N17" s="41">
        <v>6.0</v>
      </c>
      <c r="O17" s="41">
        <v>1.0</v>
      </c>
      <c r="P17" s="41">
        <v>1.0</v>
      </c>
      <c r="Q17" s="41">
        <v>1.0</v>
      </c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3"/>
      <c r="AC17" s="43"/>
      <c r="AD17" s="43"/>
    </row>
    <row r="18">
      <c r="D18" s="1" t="s">
        <v>4</v>
      </c>
      <c r="E18" s="2"/>
      <c r="F18" s="3"/>
      <c r="G18" s="1" t="s">
        <v>5</v>
      </c>
      <c r="H18" s="2"/>
      <c r="I18" s="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D19" s="17" t="s">
        <v>6</v>
      </c>
      <c r="E19" s="18" t="s">
        <v>256</v>
      </c>
      <c r="F19" s="3"/>
      <c r="G19" s="19" t="s">
        <v>257</v>
      </c>
      <c r="H19" s="2"/>
      <c r="I19" s="3"/>
      <c r="L19" s="51" t="s">
        <v>156</v>
      </c>
      <c r="M19" s="2"/>
      <c r="N19" s="2"/>
      <c r="O19" s="2"/>
      <c r="P19" s="3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9"/>
      <c r="AD19" s="9"/>
    </row>
    <row r="20">
      <c r="D20" s="17" t="s">
        <v>7</v>
      </c>
      <c r="E20" s="1">
        <f>20+4</f>
        <v>24</v>
      </c>
      <c r="F20" s="3"/>
      <c r="L20" s="51" t="s">
        <v>85</v>
      </c>
      <c r="M20" s="2"/>
      <c r="N20" s="2"/>
      <c r="O20" s="2"/>
      <c r="P20" s="3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9"/>
      <c r="AD20" s="9"/>
    </row>
    <row r="21">
      <c r="L21" s="9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9"/>
      <c r="AD21" s="9"/>
    </row>
    <row r="22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9"/>
      <c r="AD23" s="9"/>
    </row>
    <row r="24">
      <c r="L24" s="9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9"/>
      <c r="AD24" s="9"/>
    </row>
    <row r="25">
      <c r="L25" s="9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9"/>
      <c r="AD25" s="9"/>
    </row>
    <row r="26"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L27" s="20"/>
      <c r="M27" s="20"/>
      <c r="N27" s="20"/>
      <c r="O27" s="20"/>
      <c r="P27" s="20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L28" s="20"/>
      <c r="M28" s="20"/>
      <c r="N28" s="20"/>
      <c r="O28" s="20"/>
      <c r="P28" s="20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</sheetData>
  <mergeCells count="22">
    <mergeCell ref="A1:C1"/>
    <mergeCell ref="E1:F1"/>
    <mergeCell ref="H1:I1"/>
    <mergeCell ref="L1:X1"/>
    <mergeCell ref="B2:C2"/>
    <mergeCell ref="B3:C3"/>
    <mergeCell ref="B4:C4"/>
    <mergeCell ref="D18:F18"/>
    <mergeCell ref="E19:F19"/>
    <mergeCell ref="G19:I19"/>
    <mergeCell ref="L19:P19"/>
    <mergeCell ref="E20:F20"/>
    <mergeCell ref="L20:P20"/>
    <mergeCell ref="E21:F21"/>
    <mergeCell ref="E22:F22"/>
    <mergeCell ref="B5:C5"/>
    <mergeCell ref="B6:C6"/>
    <mergeCell ref="B7:C7"/>
    <mergeCell ref="B8:C8"/>
    <mergeCell ref="B9:C9"/>
    <mergeCell ref="B10:C10"/>
    <mergeCell ref="G18:I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7" max="7" width="5.0"/>
    <col customWidth="1" min="8" max="8" width="13.25"/>
    <col customWidth="1" min="9" max="9" width="14.38"/>
    <col customWidth="1" min="10" max="11" width="5.0"/>
    <col customWidth="1" min="12" max="12" width="4.88"/>
    <col customWidth="1" min="13" max="13" width="5.38"/>
    <col customWidth="1" min="14" max="14" width="5.13"/>
    <col customWidth="1" min="15" max="16" width="5.25"/>
    <col customWidth="1" min="17" max="18" width="5.13"/>
    <col customWidth="1" min="19" max="19" width="5.5"/>
    <col customWidth="1" min="20" max="21" width="4.88"/>
    <col customWidth="1" min="22" max="22" width="4.75"/>
    <col customWidth="1" min="23" max="23" width="4.88"/>
    <col customWidth="1" min="24" max="24" width="5.13"/>
    <col customWidth="1" min="25" max="25" width="5.75"/>
    <col customWidth="1" min="26" max="30" width="4.75"/>
  </cols>
  <sheetData>
    <row r="1">
      <c r="A1" s="1" t="s">
        <v>0</v>
      </c>
      <c r="B1" s="2"/>
      <c r="C1" s="3"/>
      <c r="E1" s="1" t="s">
        <v>1</v>
      </c>
      <c r="F1" s="3"/>
      <c r="H1" s="1" t="s">
        <v>2</v>
      </c>
      <c r="I1" s="3"/>
      <c r="L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>
        <v>1.0</v>
      </c>
      <c r="B2" s="5" t="s">
        <v>258</v>
      </c>
      <c r="C2" s="3"/>
      <c r="E2" s="6" t="s">
        <v>259</v>
      </c>
      <c r="F2" s="6" t="s">
        <v>214</v>
      </c>
      <c r="G2" s="7"/>
      <c r="H2" s="26" t="s">
        <v>215</v>
      </c>
      <c r="I2" s="6" t="s">
        <v>214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</row>
    <row r="3">
      <c r="A3" s="10">
        <v>2.0</v>
      </c>
      <c r="B3" s="5" t="s">
        <v>260</v>
      </c>
      <c r="C3" s="3"/>
      <c r="E3" s="6" t="s">
        <v>261</v>
      </c>
      <c r="F3" s="6" t="s">
        <v>218</v>
      </c>
      <c r="G3" s="7"/>
      <c r="H3" s="34" t="s">
        <v>262</v>
      </c>
      <c r="I3" s="34" t="s">
        <v>220</v>
      </c>
      <c r="L3" s="27" t="s">
        <v>17</v>
      </c>
      <c r="M3" s="29" t="s">
        <v>18</v>
      </c>
      <c r="N3" s="29" t="s">
        <v>20</v>
      </c>
      <c r="O3" s="29" t="s">
        <v>77</v>
      </c>
      <c r="P3" s="29" t="s">
        <v>22</v>
      </c>
      <c r="Q3" s="29" t="s">
        <v>25</v>
      </c>
      <c r="R3" s="29" t="s">
        <v>26</v>
      </c>
      <c r="S3" s="29" t="s">
        <v>75</v>
      </c>
      <c r="T3" s="29" t="s">
        <v>76</v>
      </c>
      <c r="U3" s="29" t="s">
        <v>19</v>
      </c>
      <c r="V3" s="29" t="s">
        <v>21</v>
      </c>
      <c r="W3" s="29" t="s">
        <v>24</v>
      </c>
      <c r="X3" s="41" t="s">
        <v>23</v>
      </c>
      <c r="Y3" s="41" t="s">
        <v>200</v>
      </c>
      <c r="Z3" s="42" t="s">
        <v>28</v>
      </c>
      <c r="AA3" s="43"/>
      <c r="AB3" s="43"/>
      <c r="AC3" s="43"/>
      <c r="AD3" s="43"/>
    </row>
    <row r="4">
      <c r="A4" s="10">
        <v>3.0</v>
      </c>
      <c r="B4" s="5" t="s">
        <v>263</v>
      </c>
      <c r="C4" s="3"/>
      <c r="E4" s="6" t="s">
        <v>264</v>
      </c>
      <c r="F4" s="6" t="s">
        <v>265</v>
      </c>
      <c r="G4" s="7"/>
      <c r="H4" s="25" t="s">
        <v>266</v>
      </c>
      <c r="I4" s="6" t="s">
        <v>265</v>
      </c>
      <c r="L4" s="41"/>
      <c r="M4" s="41" t="s">
        <v>17</v>
      </c>
      <c r="N4" s="41" t="s">
        <v>17</v>
      </c>
      <c r="O4" s="41" t="s">
        <v>17</v>
      </c>
      <c r="P4" s="41" t="s">
        <v>18</v>
      </c>
      <c r="Q4" s="41" t="s">
        <v>18</v>
      </c>
      <c r="R4" s="41" t="s">
        <v>20</v>
      </c>
      <c r="S4" s="41" t="s">
        <v>22</v>
      </c>
      <c r="T4" s="41" t="s">
        <v>75</v>
      </c>
      <c r="U4" s="41" t="s">
        <v>76</v>
      </c>
      <c r="V4" s="41" t="s">
        <v>76</v>
      </c>
      <c r="W4" s="41" t="s">
        <v>19</v>
      </c>
      <c r="X4" s="41" t="s">
        <v>19</v>
      </c>
      <c r="Y4" s="41" t="s">
        <v>21</v>
      </c>
      <c r="Z4" s="41" t="s">
        <v>24</v>
      </c>
      <c r="AA4" s="43"/>
      <c r="AB4" s="43"/>
      <c r="AC4" s="43"/>
      <c r="AD4" s="43"/>
    </row>
    <row r="5">
      <c r="A5" s="10"/>
      <c r="B5" s="5"/>
      <c r="C5" s="3"/>
      <c r="E5" s="6" t="s">
        <v>267</v>
      </c>
      <c r="F5" s="6" t="s">
        <v>226</v>
      </c>
      <c r="G5" s="7"/>
      <c r="H5" s="26" t="s">
        <v>268</v>
      </c>
      <c r="I5" s="6" t="s">
        <v>226</v>
      </c>
      <c r="L5" s="43"/>
      <c r="M5" s="41">
        <v>10.0</v>
      </c>
      <c r="N5" s="41">
        <v>10.0</v>
      </c>
      <c r="O5" s="41">
        <v>10.0</v>
      </c>
      <c r="P5" s="41">
        <v>10.0</v>
      </c>
      <c r="Q5" s="41">
        <v>5.0</v>
      </c>
      <c r="R5" s="41">
        <v>5.0</v>
      </c>
      <c r="S5" s="41">
        <v>10.0</v>
      </c>
      <c r="T5" s="41">
        <v>10.0</v>
      </c>
      <c r="U5" s="41">
        <v>10.0</v>
      </c>
      <c r="V5" s="41">
        <v>10.0</v>
      </c>
      <c r="W5" s="41">
        <v>10.0</v>
      </c>
      <c r="X5" s="41">
        <v>10.0</v>
      </c>
      <c r="Y5" s="41">
        <v>10.0</v>
      </c>
      <c r="Z5" s="41">
        <v>10.0</v>
      </c>
      <c r="AA5" s="43"/>
      <c r="AB5" s="43"/>
      <c r="AC5" s="43"/>
      <c r="AD5" s="43"/>
    </row>
    <row r="6">
      <c r="A6" s="10"/>
      <c r="B6" s="5"/>
      <c r="C6" s="3"/>
      <c r="E6" s="6" t="s">
        <v>269</v>
      </c>
      <c r="F6" s="6" t="s">
        <v>230</v>
      </c>
      <c r="G6" s="7"/>
      <c r="H6" s="6" t="s">
        <v>269</v>
      </c>
      <c r="I6" s="6" t="s">
        <v>230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12"/>
      <c r="B7" s="13"/>
      <c r="C7" s="3"/>
      <c r="E7" s="6" t="s">
        <v>270</v>
      </c>
      <c r="F7" s="6" t="s">
        <v>271</v>
      </c>
      <c r="G7" s="7"/>
      <c r="H7" s="26" t="s">
        <v>231</v>
      </c>
      <c r="I7" s="34" t="s">
        <v>272</v>
      </c>
      <c r="L7" s="27" t="s">
        <v>17</v>
      </c>
      <c r="M7" s="29" t="s">
        <v>20</v>
      </c>
      <c r="N7" s="29" t="s">
        <v>77</v>
      </c>
      <c r="O7" s="29" t="s">
        <v>25</v>
      </c>
      <c r="P7" s="29" t="s">
        <v>26</v>
      </c>
      <c r="Q7" s="29" t="s">
        <v>24</v>
      </c>
      <c r="R7" s="41" t="s">
        <v>75</v>
      </c>
      <c r="S7" s="42" t="s">
        <v>28</v>
      </c>
      <c r="T7" s="41"/>
      <c r="U7" s="41"/>
      <c r="V7" s="41"/>
      <c r="W7" s="41"/>
      <c r="X7" s="41"/>
      <c r="Y7" s="41"/>
      <c r="Z7" s="41"/>
      <c r="AA7" s="43"/>
      <c r="AB7" s="43"/>
      <c r="AC7" s="43"/>
      <c r="AD7" s="43"/>
    </row>
    <row r="8">
      <c r="A8" s="12"/>
      <c r="B8" s="13"/>
      <c r="C8" s="3"/>
      <c r="E8" s="6" t="s">
        <v>233</v>
      </c>
      <c r="F8" s="6" t="s">
        <v>273</v>
      </c>
      <c r="G8" s="7"/>
      <c r="H8" s="34" t="s">
        <v>274</v>
      </c>
      <c r="I8" s="25" t="s">
        <v>275</v>
      </c>
      <c r="L8" s="41"/>
      <c r="M8" s="41" t="s">
        <v>17</v>
      </c>
      <c r="N8" s="41" t="s">
        <v>17</v>
      </c>
      <c r="O8" s="41" t="s">
        <v>20</v>
      </c>
      <c r="P8" s="41" t="s">
        <v>20</v>
      </c>
      <c r="Q8" s="41" t="s">
        <v>77</v>
      </c>
      <c r="R8" s="41" t="s">
        <v>25</v>
      </c>
      <c r="S8" s="41" t="s">
        <v>24</v>
      </c>
      <c r="T8" s="41"/>
      <c r="U8" s="41"/>
      <c r="V8" s="41"/>
      <c r="W8" s="41"/>
      <c r="X8" s="41"/>
      <c r="Y8" s="41"/>
      <c r="Z8" s="41"/>
      <c r="AA8" s="43"/>
      <c r="AB8" s="43"/>
      <c r="AC8" s="43"/>
      <c r="AD8" s="43"/>
    </row>
    <row r="9">
      <c r="A9" s="12"/>
      <c r="B9" s="13"/>
      <c r="C9" s="3"/>
      <c r="E9" s="6" t="s">
        <v>276</v>
      </c>
      <c r="F9" s="6" t="s">
        <v>277</v>
      </c>
      <c r="G9" s="7"/>
      <c r="H9" s="34" t="s">
        <v>278</v>
      </c>
      <c r="I9" s="6" t="s">
        <v>277</v>
      </c>
      <c r="L9" s="43"/>
      <c r="M9" s="41">
        <v>10.0</v>
      </c>
      <c r="N9" s="41">
        <v>10.0</v>
      </c>
      <c r="O9" s="41">
        <v>10.0</v>
      </c>
      <c r="P9" s="41">
        <v>5.0</v>
      </c>
      <c r="Q9" s="41">
        <v>5.0</v>
      </c>
      <c r="R9" s="41">
        <v>10.0</v>
      </c>
      <c r="S9" s="41">
        <v>5.0</v>
      </c>
      <c r="T9" s="41"/>
      <c r="U9" s="41"/>
      <c r="V9" s="41"/>
      <c r="W9" s="41"/>
      <c r="X9" s="41"/>
      <c r="Y9" s="41"/>
      <c r="Z9" s="41"/>
      <c r="AA9" s="43"/>
      <c r="AB9" s="43"/>
      <c r="AC9" s="43"/>
      <c r="AD9" s="43"/>
    </row>
    <row r="10">
      <c r="A10" s="53" t="s">
        <v>137</v>
      </c>
      <c r="B10" s="47">
        <v>19.0</v>
      </c>
      <c r="C10" s="3"/>
      <c r="E10" s="6" t="s">
        <v>279</v>
      </c>
      <c r="F10" s="6" t="s">
        <v>280</v>
      </c>
      <c r="G10" s="7"/>
      <c r="H10" s="6" t="s">
        <v>279</v>
      </c>
      <c r="I10" s="34" t="s">
        <v>281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E11" s="6" t="s">
        <v>282</v>
      </c>
      <c r="F11" s="6"/>
      <c r="G11" s="7"/>
      <c r="H11" s="26" t="s">
        <v>248</v>
      </c>
      <c r="I11" s="6"/>
      <c r="L11" s="27" t="s">
        <v>17</v>
      </c>
      <c r="M11" s="29" t="s">
        <v>20</v>
      </c>
      <c r="N11" s="29" t="s">
        <v>77</v>
      </c>
      <c r="O11" s="29" t="s">
        <v>25</v>
      </c>
      <c r="P11" s="29" t="s">
        <v>26</v>
      </c>
      <c r="Q11" s="29" t="s">
        <v>75</v>
      </c>
      <c r="R11" s="29" t="s">
        <v>76</v>
      </c>
      <c r="S11" s="29" t="s">
        <v>22</v>
      </c>
      <c r="T11" s="29" t="s">
        <v>19</v>
      </c>
      <c r="U11" s="29" t="s">
        <v>21</v>
      </c>
      <c r="V11" s="29" t="s">
        <v>18</v>
      </c>
      <c r="W11" s="29" t="s">
        <v>24</v>
      </c>
      <c r="X11" s="29" t="s">
        <v>23</v>
      </c>
      <c r="Y11" s="29" t="s">
        <v>200</v>
      </c>
      <c r="Z11" s="29" t="s">
        <v>74</v>
      </c>
      <c r="AA11" s="42" t="s">
        <v>28</v>
      </c>
      <c r="AB11" s="12"/>
      <c r="AC11" s="43"/>
      <c r="AD11" s="43"/>
    </row>
    <row r="12">
      <c r="E12" s="6" t="s">
        <v>283</v>
      </c>
      <c r="F12" s="16"/>
      <c r="G12" s="7"/>
      <c r="H12" s="34" t="s">
        <v>284</v>
      </c>
      <c r="I12" s="16"/>
      <c r="L12" s="41"/>
      <c r="M12" s="41" t="s">
        <v>17</v>
      </c>
      <c r="N12" s="41" t="s">
        <v>17</v>
      </c>
      <c r="O12" s="41" t="s">
        <v>20</v>
      </c>
      <c r="P12" s="41" t="s">
        <v>20</v>
      </c>
      <c r="Q12" s="41" t="s">
        <v>25</v>
      </c>
      <c r="R12" s="41" t="s">
        <v>75</v>
      </c>
      <c r="S12" s="41" t="s">
        <v>285</v>
      </c>
      <c r="T12" s="41" t="s">
        <v>76</v>
      </c>
      <c r="U12" s="41" t="s">
        <v>76</v>
      </c>
      <c r="V12" s="41" t="s">
        <v>79</v>
      </c>
      <c r="W12" s="41" t="s">
        <v>19</v>
      </c>
      <c r="X12" s="41" t="s">
        <v>19</v>
      </c>
      <c r="Y12" s="41" t="s">
        <v>21</v>
      </c>
      <c r="Z12" s="41" t="s">
        <v>23</v>
      </c>
      <c r="AA12" s="41" t="s">
        <v>74</v>
      </c>
      <c r="AB12" s="12"/>
      <c r="AC12" s="43"/>
      <c r="AD12" s="43"/>
    </row>
    <row r="13">
      <c r="E13" s="6" t="s">
        <v>286</v>
      </c>
      <c r="F13" s="16"/>
      <c r="G13" s="7"/>
      <c r="H13" s="25" t="s">
        <v>252</v>
      </c>
      <c r="I13" s="16"/>
      <c r="L13" s="43"/>
      <c r="M13" s="41">
        <v>10.0</v>
      </c>
      <c r="N13" s="41">
        <v>5.0</v>
      </c>
      <c r="O13" s="41">
        <v>10.0</v>
      </c>
      <c r="P13" s="41">
        <v>5.0</v>
      </c>
      <c r="Q13" s="41">
        <v>10.0</v>
      </c>
      <c r="R13" s="41">
        <v>10.0</v>
      </c>
      <c r="S13" s="41">
        <v>10.0</v>
      </c>
      <c r="T13" s="41">
        <v>10.0</v>
      </c>
      <c r="U13" s="41">
        <v>10.0</v>
      </c>
      <c r="V13" s="41">
        <v>10.0</v>
      </c>
      <c r="W13" s="41">
        <v>10.0</v>
      </c>
      <c r="X13" s="41">
        <v>10.0</v>
      </c>
      <c r="Y13" s="41">
        <v>10.0</v>
      </c>
      <c r="Z13" s="41">
        <v>4.0</v>
      </c>
      <c r="AA13" s="41">
        <v>4.0</v>
      </c>
      <c r="AB13" s="12"/>
      <c r="AC13" s="43"/>
      <c r="AD13" s="43"/>
    </row>
    <row r="14">
      <c r="E14" s="6" t="s">
        <v>253</v>
      </c>
      <c r="F14" s="16"/>
      <c r="G14" s="7"/>
      <c r="H14" s="34" t="s">
        <v>287</v>
      </c>
      <c r="I14" s="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E15" s="6" t="s">
        <v>255</v>
      </c>
      <c r="F15" s="16"/>
      <c r="G15" s="7"/>
      <c r="H15" s="6" t="s">
        <v>255</v>
      </c>
      <c r="I15" s="16"/>
      <c r="L15" s="27" t="s">
        <v>17</v>
      </c>
      <c r="M15" s="29" t="s">
        <v>20</v>
      </c>
      <c r="N15" s="29" t="s">
        <v>77</v>
      </c>
      <c r="O15" s="29" t="s">
        <v>25</v>
      </c>
      <c r="P15" s="29" t="s">
        <v>26</v>
      </c>
      <c r="Q15" s="29" t="s">
        <v>75</v>
      </c>
      <c r="R15" s="29" t="s">
        <v>76</v>
      </c>
      <c r="S15" s="29" t="s">
        <v>22</v>
      </c>
      <c r="T15" s="29" t="s">
        <v>19</v>
      </c>
      <c r="U15" s="29" t="s">
        <v>21</v>
      </c>
      <c r="V15" s="29" t="s">
        <v>18</v>
      </c>
      <c r="W15" s="29" t="s">
        <v>24</v>
      </c>
      <c r="X15" s="29" t="s">
        <v>23</v>
      </c>
      <c r="Y15" s="29" t="s">
        <v>200</v>
      </c>
      <c r="Z15" s="41"/>
      <c r="AA15" s="41"/>
      <c r="AB15" s="41"/>
      <c r="AC15" s="43"/>
      <c r="AD15" s="43"/>
    </row>
    <row r="16">
      <c r="L16" s="41"/>
      <c r="M16" s="41" t="s">
        <v>17</v>
      </c>
      <c r="N16" s="41" t="s">
        <v>17</v>
      </c>
      <c r="O16" s="41" t="s">
        <v>20</v>
      </c>
      <c r="P16" s="41" t="s">
        <v>20</v>
      </c>
      <c r="Q16" s="41" t="s">
        <v>25</v>
      </c>
      <c r="R16" s="41" t="s">
        <v>75</v>
      </c>
      <c r="S16" s="41" t="s">
        <v>285</v>
      </c>
      <c r="T16" s="41" t="s">
        <v>76</v>
      </c>
      <c r="U16" s="41" t="s">
        <v>76</v>
      </c>
      <c r="V16" s="41" t="s">
        <v>79</v>
      </c>
      <c r="W16" s="41" t="s">
        <v>19</v>
      </c>
      <c r="X16" s="41" t="s">
        <v>19</v>
      </c>
      <c r="Y16" s="41" t="s">
        <v>21</v>
      </c>
      <c r="Z16" s="41"/>
      <c r="AA16" s="41"/>
      <c r="AB16" s="41"/>
      <c r="AC16" s="43"/>
      <c r="AD16" s="43"/>
    </row>
    <row r="17">
      <c r="L17" s="43"/>
      <c r="M17" s="41">
        <v>6.0</v>
      </c>
      <c r="N17" s="41">
        <v>5.0</v>
      </c>
      <c r="O17" s="41">
        <v>6.0</v>
      </c>
      <c r="P17" s="41">
        <v>5.0</v>
      </c>
      <c r="Q17" s="41">
        <v>6.0</v>
      </c>
      <c r="R17" s="41">
        <v>6.0</v>
      </c>
      <c r="S17" s="41">
        <v>6.0</v>
      </c>
      <c r="T17" s="41">
        <v>6.0</v>
      </c>
      <c r="U17" s="41">
        <v>6.0</v>
      </c>
      <c r="V17" s="41">
        <v>6.0</v>
      </c>
      <c r="W17" s="41">
        <v>6.0</v>
      </c>
      <c r="X17" s="41">
        <v>6.0</v>
      </c>
      <c r="Y17" s="41">
        <v>6.0</v>
      </c>
      <c r="Z17" s="41"/>
      <c r="AA17" s="41"/>
      <c r="AB17" s="41"/>
      <c r="AC17" s="43"/>
      <c r="AD17" s="43"/>
    </row>
    <row r="18">
      <c r="D18" s="1" t="s">
        <v>4</v>
      </c>
      <c r="E18" s="2"/>
      <c r="F18" s="3"/>
      <c r="G18" s="1" t="s">
        <v>5</v>
      </c>
      <c r="H18" s="2"/>
      <c r="I18" s="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D19" s="17" t="s">
        <v>6</v>
      </c>
      <c r="E19" s="18" t="s">
        <v>288</v>
      </c>
      <c r="F19" s="3"/>
      <c r="G19" s="19" t="s">
        <v>289</v>
      </c>
      <c r="H19" s="2"/>
      <c r="I19" s="3"/>
      <c r="L19" s="51" t="s">
        <v>290</v>
      </c>
      <c r="M19" s="2"/>
      <c r="N19" s="2"/>
      <c r="O19" s="2"/>
      <c r="P19" s="3"/>
      <c r="Q19" s="48" t="s">
        <v>291</v>
      </c>
      <c r="R19" s="2"/>
      <c r="S19" s="2"/>
      <c r="T19" s="2"/>
      <c r="U19" s="2"/>
      <c r="V19" s="2"/>
      <c r="W19" s="3"/>
      <c r="X19" s="11"/>
      <c r="Y19" s="11"/>
      <c r="Z19" s="11"/>
      <c r="AA19" s="11"/>
      <c r="AB19" s="11"/>
      <c r="AC19" s="9"/>
      <c r="AD19" s="9"/>
    </row>
    <row r="20">
      <c r="D20" s="17" t="s">
        <v>7</v>
      </c>
      <c r="E20" s="1">
        <f>20+4</f>
        <v>24</v>
      </c>
      <c r="F20" s="3"/>
      <c r="L20" s="9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9"/>
      <c r="AD20" s="9"/>
    </row>
    <row r="21">
      <c r="L21" s="9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9"/>
      <c r="AD21" s="9"/>
    </row>
    <row r="22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9"/>
      <c r="AD23" s="9"/>
    </row>
    <row r="24">
      <c r="L24" s="9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9"/>
      <c r="AD24" s="9"/>
    </row>
    <row r="25">
      <c r="L25" s="9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9"/>
      <c r="AD25" s="9"/>
    </row>
    <row r="26"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L27" s="20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L28" s="20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</sheetData>
  <mergeCells count="24">
    <mergeCell ref="A1:C1"/>
    <mergeCell ref="E1:F1"/>
    <mergeCell ref="H1:I1"/>
    <mergeCell ref="L1:X1"/>
    <mergeCell ref="B2:C2"/>
    <mergeCell ref="B3:C3"/>
    <mergeCell ref="B4:C4"/>
    <mergeCell ref="D18:F18"/>
    <mergeCell ref="E19:F19"/>
    <mergeCell ref="G19:I19"/>
    <mergeCell ref="L19:P19"/>
    <mergeCell ref="Q19:W19"/>
    <mergeCell ref="E20:F20"/>
    <mergeCell ref="E21:F21"/>
    <mergeCell ref="E22:F22"/>
    <mergeCell ref="L27:P27"/>
    <mergeCell ref="L28:P28"/>
    <mergeCell ref="B5:C5"/>
    <mergeCell ref="B6:C6"/>
    <mergeCell ref="B7:C7"/>
    <mergeCell ref="B8:C8"/>
    <mergeCell ref="B9:C9"/>
    <mergeCell ref="B10:C10"/>
    <mergeCell ref="G18:I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7" max="7" width="5.0"/>
    <col customWidth="1" min="8" max="8" width="13.25"/>
    <col customWidth="1" min="9" max="9" width="14.38"/>
    <col customWidth="1" min="10" max="11" width="5.0"/>
    <col customWidth="1" min="12" max="12" width="4.88"/>
    <col customWidth="1" min="13" max="13" width="5.38"/>
    <col customWidth="1" min="14" max="14" width="5.13"/>
    <col customWidth="1" min="15" max="16" width="5.25"/>
    <col customWidth="1" min="17" max="18" width="5.13"/>
    <col customWidth="1" min="19" max="19" width="5.5"/>
    <col customWidth="1" min="20" max="21" width="4.88"/>
    <col customWidth="1" min="22" max="22" width="4.75"/>
    <col customWidth="1" min="23" max="23" width="4.88"/>
    <col customWidth="1" min="24" max="24" width="5.13"/>
    <col customWidth="1" min="25" max="25" width="5.75"/>
    <col customWidth="1" min="26" max="30" width="4.75"/>
  </cols>
  <sheetData>
    <row r="1">
      <c r="A1" s="1" t="s">
        <v>0</v>
      </c>
      <c r="B1" s="2"/>
      <c r="C1" s="3"/>
      <c r="E1" s="1" t="s">
        <v>1</v>
      </c>
      <c r="F1" s="3"/>
      <c r="H1" s="1" t="s">
        <v>2</v>
      </c>
      <c r="I1" s="3"/>
      <c r="L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>
        <v>1.0</v>
      </c>
      <c r="B2" s="5" t="s">
        <v>292</v>
      </c>
      <c r="C2" s="3"/>
      <c r="E2" s="6" t="s">
        <v>259</v>
      </c>
      <c r="F2" s="6" t="s">
        <v>214</v>
      </c>
      <c r="G2" s="7"/>
      <c r="H2" s="26" t="s">
        <v>215</v>
      </c>
      <c r="I2" s="6" t="s">
        <v>214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</row>
    <row r="3">
      <c r="A3" s="10">
        <v>2.0</v>
      </c>
      <c r="B3" s="5" t="s">
        <v>293</v>
      </c>
      <c r="C3" s="3"/>
      <c r="E3" s="6" t="s">
        <v>261</v>
      </c>
      <c r="F3" s="6" t="s">
        <v>218</v>
      </c>
      <c r="G3" s="7"/>
      <c r="H3" s="25" t="s">
        <v>294</v>
      </c>
      <c r="I3" s="34" t="s">
        <v>220</v>
      </c>
      <c r="L3" s="27" t="s">
        <v>17</v>
      </c>
      <c r="M3" s="29" t="s">
        <v>18</v>
      </c>
      <c r="N3" s="29" t="s">
        <v>20</v>
      </c>
      <c r="O3" s="29" t="s">
        <v>77</v>
      </c>
      <c r="P3" s="29" t="s">
        <v>22</v>
      </c>
      <c r="Q3" s="29" t="s">
        <v>25</v>
      </c>
      <c r="R3" s="29" t="s">
        <v>26</v>
      </c>
      <c r="S3" s="29" t="s">
        <v>75</v>
      </c>
      <c r="T3" s="29" t="s">
        <v>76</v>
      </c>
      <c r="U3" s="29" t="s">
        <v>19</v>
      </c>
      <c r="V3" s="29" t="s">
        <v>21</v>
      </c>
      <c r="W3" s="29" t="s">
        <v>24</v>
      </c>
      <c r="X3" s="41" t="s">
        <v>23</v>
      </c>
      <c r="Y3" s="41" t="s">
        <v>200</v>
      </c>
      <c r="Z3" s="42" t="s">
        <v>28</v>
      </c>
      <c r="AA3" s="43"/>
      <c r="AB3" s="43"/>
      <c r="AC3" s="43"/>
      <c r="AD3" s="43"/>
    </row>
    <row r="4">
      <c r="A4" s="10">
        <v>3.0</v>
      </c>
      <c r="B4" s="5" t="s">
        <v>295</v>
      </c>
      <c r="C4" s="3"/>
      <c r="E4" s="6" t="s">
        <v>264</v>
      </c>
      <c r="F4" s="6" t="s">
        <v>265</v>
      </c>
      <c r="G4" s="7"/>
      <c r="H4" s="34" t="s">
        <v>296</v>
      </c>
      <c r="I4" s="6" t="s">
        <v>265</v>
      </c>
      <c r="L4" s="41"/>
      <c r="M4" s="41" t="s">
        <v>17</v>
      </c>
      <c r="N4" s="41" t="s">
        <v>17</v>
      </c>
      <c r="O4" s="41" t="s">
        <v>17</v>
      </c>
      <c r="P4" s="41" t="s">
        <v>18</v>
      </c>
      <c r="Q4" s="41" t="s">
        <v>18</v>
      </c>
      <c r="R4" s="41" t="s">
        <v>20</v>
      </c>
      <c r="S4" s="41" t="s">
        <v>22</v>
      </c>
      <c r="T4" s="41" t="s">
        <v>75</v>
      </c>
      <c r="U4" s="41" t="s">
        <v>76</v>
      </c>
      <c r="V4" s="41" t="s">
        <v>76</v>
      </c>
      <c r="W4" s="41" t="s">
        <v>19</v>
      </c>
      <c r="X4" s="41" t="s">
        <v>19</v>
      </c>
      <c r="Y4" s="41" t="s">
        <v>21</v>
      </c>
      <c r="Z4" s="41" t="s">
        <v>24</v>
      </c>
      <c r="AA4" s="43"/>
      <c r="AB4" s="43"/>
      <c r="AC4" s="43"/>
      <c r="AD4" s="43"/>
    </row>
    <row r="5">
      <c r="A5" s="10"/>
      <c r="B5" s="5"/>
      <c r="C5" s="3"/>
      <c r="E5" s="6" t="s">
        <v>267</v>
      </c>
      <c r="F5" s="6" t="s">
        <v>226</v>
      </c>
      <c r="G5" s="7"/>
      <c r="H5" s="26" t="s">
        <v>268</v>
      </c>
      <c r="I5" s="34" t="s">
        <v>228</v>
      </c>
      <c r="L5" s="43"/>
      <c r="M5" s="41">
        <v>10.0</v>
      </c>
      <c r="N5" s="41">
        <v>10.0</v>
      </c>
      <c r="O5" s="41">
        <v>10.0</v>
      </c>
      <c r="P5" s="41">
        <v>10.0</v>
      </c>
      <c r="Q5" s="41">
        <v>5.0</v>
      </c>
      <c r="R5" s="41">
        <v>5.0</v>
      </c>
      <c r="S5" s="41">
        <v>10.0</v>
      </c>
      <c r="T5" s="41">
        <v>10.0</v>
      </c>
      <c r="U5" s="41">
        <v>10.0</v>
      </c>
      <c r="V5" s="41">
        <v>10.0</v>
      </c>
      <c r="W5" s="41">
        <v>10.0</v>
      </c>
      <c r="X5" s="41">
        <v>10.0</v>
      </c>
      <c r="Y5" s="41">
        <v>10.0</v>
      </c>
      <c r="Z5" s="41">
        <v>10.0</v>
      </c>
      <c r="AA5" s="43"/>
      <c r="AB5" s="43"/>
      <c r="AC5" s="43"/>
      <c r="AD5" s="43"/>
    </row>
    <row r="6">
      <c r="A6" s="10"/>
      <c r="B6" s="5"/>
      <c r="C6" s="3"/>
      <c r="E6" s="6" t="s">
        <v>269</v>
      </c>
      <c r="F6" s="6" t="s">
        <v>230</v>
      </c>
      <c r="G6" s="7"/>
      <c r="H6" s="6" t="s">
        <v>269</v>
      </c>
      <c r="I6" s="6" t="s">
        <v>230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12"/>
      <c r="B7" s="13"/>
      <c r="C7" s="3"/>
      <c r="E7" s="6" t="s">
        <v>270</v>
      </c>
      <c r="F7" s="6" t="s">
        <v>271</v>
      </c>
      <c r="G7" s="7"/>
      <c r="H7" s="26" t="s">
        <v>231</v>
      </c>
      <c r="I7" s="6" t="s">
        <v>271</v>
      </c>
      <c r="L7" s="27" t="s">
        <v>17</v>
      </c>
      <c r="M7" s="29" t="s">
        <v>20</v>
      </c>
      <c r="N7" s="29" t="s">
        <v>77</v>
      </c>
      <c r="O7" s="29" t="s">
        <v>25</v>
      </c>
      <c r="P7" s="29" t="s">
        <v>26</v>
      </c>
      <c r="Q7" s="29" t="s">
        <v>22</v>
      </c>
      <c r="R7" s="29" t="s">
        <v>75</v>
      </c>
      <c r="S7" s="29" t="s">
        <v>18</v>
      </c>
      <c r="T7" s="29" t="s">
        <v>76</v>
      </c>
      <c r="U7" s="29" t="s">
        <v>19</v>
      </c>
      <c r="V7" s="29" t="s">
        <v>21</v>
      </c>
      <c r="W7" s="29" t="s">
        <v>24</v>
      </c>
      <c r="X7" s="41" t="s">
        <v>23</v>
      </c>
      <c r="Y7" s="41" t="s">
        <v>200</v>
      </c>
      <c r="Z7" s="42" t="s">
        <v>28</v>
      </c>
      <c r="AA7" s="43"/>
      <c r="AB7" s="43"/>
      <c r="AC7" s="43"/>
      <c r="AD7" s="43"/>
    </row>
    <row r="8">
      <c r="A8" s="12"/>
      <c r="B8" s="13"/>
      <c r="C8" s="3"/>
      <c r="E8" s="6" t="s">
        <v>233</v>
      </c>
      <c r="F8" s="6" t="s">
        <v>273</v>
      </c>
      <c r="G8" s="7"/>
      <c r="H8" s="34" t="s">
        <v>235</v>
      </c>
      <c r="I8" s="6" t="s">
        <v>273</v>
      </c>
      <c r="L8" s="41"/>
      <c r="M8" s="41" t="s">
        <v>17</v>
      </c>
      <c r="N8" s="41" t="s">
        <v>17</v>
      </c>
      <c r="O8" s="41" t="s">
        <v>20</v>
      </c>
      <c r="P8" s="41" t="s">
        <v>20</v>
      </c>
      <c r="Q8" s="41" t="s">
        <v>77</v>
      </c>
      <c r="R8" s="41" t="s">
        <v>25</v>
      </c>
      <c r="S8" s="41" t="s">
        <v>79</v>
      </c>
      <c r="T8" s="41" t="s">
        <v>75</v>
      </c>
      <c r="U8" s="41" t="s">
        <v>76</v>
      </c>
      <c r="V8" s="41" t="s">
        <v>76</v>
      </c>
      <c r="W8" s="41" t="s">
        <v>19</v>
      </c>
      <c r="X8" s="41" t="s">
        <v>19</v>
      </c>
      <c r="Y8" s="41" t="s">
        <v>21</v>
      </c>
      <c r="Z8" s="41" t="s">
        <v>24</v>
      </c>
      <c r="AA8" s="43"/>
      <c r="AB8" s="43"/>
      <c r="AC8" s="43"/>
      <c r="AD8" s="43"/>
    </row>
    <row r="9">
      <c r="A9" s="12"/>
      <c r="B9" s="13"/>
      <c r="C9" s="3"/>
      <c r="E9" s="6" t="s">
        <v>276</v>
      </c>
      <c r="F9" s="6" t="s">
        <v>277</v>
      </c>
      <c r="G9" s="7"/>
      <c r="H9" s="34" t="s">
        <v>278</v>
      </c>
      <c r="I9" s="34" t="s">
        <v>297</v>
      </c>
      <c r="L9" s="43"/>
      <c r="M9" s="41">
        <v>10.0</v>
      </c>
      <c r="N9" s="41">
        <v>10.0</v>
      </c>
      <c r="O9" s="41">
        <v>10.0</v>
      </c>
      <c r="P9" s="41">
        <v>5.0</v>
      </c>
      <c r="Q9" s="41">
        <v>5.0</v>
      </c>
      <c r="R9" s="41">
        <v>10.0</v>
      </c>
      <c r="S9" s="41">
        <v>5.0</v>
      </c>
      <c r="T9" s="41">
        <v>10.0</v>
      </c>
      <c r="U9" s="41">
        <v>10.0</v>
      </c>
      <c r="V9" s="41">
        <v>10.0</v>
      </c>
      <c r="W9" s="41">
        <v>10.0</v>
      </c>
      <c r="X9" s="41">
        <v>10.0</v>
      </c>
      <c r="Y9" s="41">
        <v>10.0</v>
      </c>
      <c r="Z9" s="41">
        <v>10.0</v>
      </c>
      <c r="AA9" s="43"/>
      <c r="AB9" s="43"/>
      <c r="AC9" s="43"/>
      <c r="AD9" s="43"/>
    </row>
    <row r="10">
      <c r="A10" s="53" t="s">
        <v>137</v>
      </c>
      <c r="B10" s="47">
        <v>24.0</v>
      </c>
      <c r="C10" s="3"/>
      <c r="E10" s="6" t="s">
        <v>279</v>
      </c>
      <c r="F10" s="6" t="s">
        <v>280</v>
      </c>
      <c r="G10" s="7"/>
      <c r="H10" s="6" t="s">
        <v>279</v>
      </c>
      <c r="I10" s="34" t="s">
        <v>281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E11" s="6" t="s">
        <v>282</v>
      </c>
      <c r="F11" s="6"/>
      <c r="G11" s="7"/>
      <c r="H11" s="25" t="s">
        <v>249</v>
      </c>
      <c r="I11" s="6"/>
      <c r="L11" s="27" t="s">
        <v>17</v>
      </c>
      <c r="M11" s="29" t="s">
        <v>77</v>
      </c>
      <c r="N11" s="29" t="s">
        <v>22</v>
      </c>
      <c r="O11" s="29" t="s">
        <v>26</v>
      </c>
      <c r="P11" s="29" t="s">
        <v>18</v>
      </c>
      <c r="Q11" s="29" t="s">
        <v>75</v>
      </c>
      <c r="R11" s="29" t="s">
        <v>25</v>
      </c>
      <c r="S11" s="29" t="s">
        <v>76</v>
      </c>
      <c r="T11" s="29" t="s">
        <v>20</v>
      </c>
      <c r="U11" s="29" t="s">
        <v>19</v>
      </c>
      <c r="V11" s="29" t="s">
        <v>21</v>
      </c>
      <c r="W11" s="29" t="s">
        <v>23</v>
      </c>
      <c r="X11" s="29" t="s">
        <v>200</v>
      </c>
      <c r="Y11" s="41" t="s">
        <v>74</v>
      </c>
      <c r="Z11" s="41" t="s">
        <v>24</v>
      </c>
      <c r="AA11" s="42" t="s">
        <v>28</v>
      </c>
      <c r="AB11" s="43"/>
      <c r="AC11" s="43"/>
      <c r="AD11" s="43"/>
    </row>
    <row r="12">
      <c r="E12" s="6" t="s">
        <v>283</v>
      </c>
      <c r="F12" s="16"/>
      <c r="G12" s="7"/>
      <c r="H12" s="34" t="s">
        <v>284</v>
      </c>
      <c r="I12" s="16"/>
      <c r="L12" s="41"/>
      <c r="M12" s="41" t="s">
        <v>17</v>
      </c>
      <c r="N12" s="41" t="s">
        <v>77</v>
      </c>
      <c r="O12" s="41" t="s">
        <v>77</v>
      </c>
      <c r="P12" s="41" t="s">
        <v>79</v>
      </c>
      <c r="Q12" s="41" t="s">
        <v>26</v>
      </c>
      <c r="R12" s="41" t="s">
        <v>18</v>
      </c>
      <c r="S12" s="41" t="s">
        <v>75</v>
      </c>
      <c r="T12" s="41" t="s">
        <v>83</v>
      </c>
      <c r="U12" s="41" t="s">
        <v>76</v>
      </c>
      <c r="V12" s="41" t="s">
        <v>76</v>
      </c>
      <c r="W12" s="41" t="s">
        <v>19</v>
      </c>
      <c r="X12" s="41" t="s">
        <v>21</v>
      </c>
      <c r="Y12" s="41" t="s">
        <v>23</v>
      </c>
      <c r="Z12" s="41" t="s">
        <v>200</v>
      </c>
      <c r="AA12" s="41" t="s">
        <v>74</v>
      </c>
      <c r="AB12" s="43"/>
      <c r="AC12" s="43"/>
      <c r="AD12" s="43"/>
    </row>
    <row r="13">
      <c r="E13" s="6" t="s">
        <v>286</v>
      </c>
      <c r="F13" s="16"/>
      <c r="G13" s="7"/>
      <c r="H13" s="25" t="s">
        <v>252</v>
      </c>
      <c r="I13" s="16"/>
      <c r="L13" s="43"/>
      <c r="M13" s="41">
        <v>10.0</v>
      </c>
      <c r="N13" s="41">
        <v>5.0</v>
      </c>
      <c r="O13" s="41">
        <v>5.0</v>
      </c>
      <c r="P13" s="41">
        <v>5.0</v>
      </c>
      <c r="Q13" s="41">
        <v>5.0</v>
      </c>
      <c r="R13" s="41">
        <v>5.0</v>
      </c>
      <c r="S13" s="41">
        <v>5.0</v>
      </c>
      <c r="T13" s="41">
        <v>5.0</v>
      </c>
      <c r="U13" s="41">
        <v>5.0</v>
      </c>
      <c r="V13" s="41">
        <v>5.0</v>
      </c>
      <c r="W13" s="41">
        <v>5.0</v>
      </c>
      <c r="X13" s="41">
        <v>5.0</v>
      </c>
      <c r="Y13" s="41">
        <v>4.0</v>
      </c>
      <c r="Z13" s="41">
        <v>5.0</v>
      </c>
      <c r="AA13" s="41">
        <v>4.0</v>
      </c>
      <c r="AB13" s="43"/>
      <c r="AC13" s="43"/>
      <c r="AD13" s="43"/>
    </row>
    <row r="14">
      <c r="E14" s="6" t="s">
        <v>253</v>
      </c>
      <c r="F14" s="16"/>
      <c r="G14" s="7"/>
      <c r="H14" s="25" t="s">
        <v>254</v>
      </c>
      <c r="I14" s="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E15" s="6" t="s">
        <v>255</v>
      </c>
      <c r="F15" s="16"/>
      <c r="G15" s="7"/>
      <c r="H15" s="6" t="s">
        <v>255</v>
      </c>
      <c r="I15" s="16"/>
      <c r="L15" s="27" t="s">
        <v>17</v>
      </c>
      <c r="M15" s="29" t="s">
        <v>77</v>
      </c>
      <c r="N15" s="29" t="s">
        <v>22</v>
      </c>
      <c r="O15" s="29" t="s">
        <v>26</v>
      </c>
      <c r="P15" s="29" t="s">
        <v>18</v>
      </c>
      <c r="Q15" s="29" t="s">
        <v>75</v>
      </c>
      <c r="R15" s="29" t="s">
        <v>25</v>
      </c>
      <c r="S15" s="29" t="s">
        <v>76</v>
      </c>
      <c r="T15" s="29" t="s">
        <v>20</v>
      </c>
      <c r="U15" s="29" t="s">
        <v>19</v>
      </c>
      <c r="V15" s="29" t="s">
        <v>21</v>
      </c>
      <c r="W15" s="29" t="s">
        <v>23</v>
      </c>
      <c r="X15" s="29" t="s">
        <v>200</v>
      </c>
      <c r="Y15" s="29" t="s">
        <v>24</v>
      </c>
      <c r="Z15" s="41"/>
      <c r="AA15" s="41"/>
      <c r="AB15" s="43"/>
      <c r="AC15" s="43"/>
      <c r="AD15" s="43"/>
    </row>
    <row r="16">
      <c r="L16" s="41"/>
      <c r="M16" s="41" t="s">
        <v>17</v>
      </c>
      <c r="N16" s="41" t="s">
        <v>77</v>
      </c>
      <c r="O16" s="41" t="s">
        <v>77</v>
      </c>
      <c r="P16" s="41" t="s">
        <v>79</v>
      </c>
      <c r="Q16" s="41" t="s">
        <v>26</v>
      </c>
      <c r="R16" s="41" t="s">
        <v>18</v>
      </c>
      <c r="S16" s="41" t="s">
        <v>75</v>
      </c>
      <c r="T16" s="41" t="s">
        <v>83</v>
      </c>
      <c r="U16" s="41" t="s">
        <v>76</v>
      </c>
      <c r="V16" s="41" t="s">
        <v>76</v>
      </c>
      <c r="W16" s="41" t="s">
        <v>19</v>
      </c>
      <c r="X16" s="41" t="s">
        <v>21</v>
      </c>
      <c r="Y16" s="41" t="s">
        <v>200</v>
      </c>
      <c r="Z16" s="41"/>
      <c r="AA16" s="41"/>
      <c r="AB16" s="43"/>
      <c r="AC16" s="43"/>
      <c r="AD16" s="43"/>
    </row>
    <row r="17">
      <c r="L17" s="43"/>
      <c r="M17" s="41">
        <v>6.0</v>
      </c>
      <c r="N17" s="41">
        <v>5.0</v>
      </c>
      <c r="O17" s="41">
        <v>1.0</v>
      </c>
      <c r="P17" s="41">
        <v>5.0</v>
      </c>
      <c r="Q17" s="41">
        <v>1.0</v>
      </c>
      <c r="R17" s="41">
        <v>5.0</v>
      </c>
      <c r="S17" s="41">
        <v>1.0</v>
      </c>
      <c r="T17" s="41">
        <v>5.0</v>
      </c>
      <c r="U17" s="41">
        <v>1.0</v>
      </c>
      <c r="V17" s="41">
        <v>1.0</v>
      </c>
      <c r="W17" s="41">
        <v>1.0</v>
      </c>
      <c r="X17" s="41">
        <v>1.0</v>
      </c>
      <c r="Y17" s="41">
        <v>1.0</v>
      </c>
      <c r="Z17" s="41"/>
      <c r="AA17" s="41"/>
      <c r="AB17" s="43"/>
      <c r="AC17" s="43"/>
      <c r="AD17" s="43"/>
    </row>
    <row r="18">
      <c r="D18" s="1" t="s">
        <v>4</v>
      </c>
      <c r="E18" s="2"/>
      <c r="F18" s="3"/>
      <c r="G18" s="1" t="s">
        <v>5</v>
      </c>
      <c r="H18" s="2"/>
      <c r="I18" s="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D19" s="17" t="s">
        <v>6</v>
      </c>
      <c r="E19" s="18" t="s">
        <v>298</v>
      </c>
      <c r="F19" s="3"/>
      <c r="G19" s="19" t="s">
        <v>299</v>
      </c>
      <c r="H19" s="2"/>
      <c r="I19" s="3"/>
      <c r="L19" s="51" t="s">
        <v>156</v>
      </c>
      <c r="M19" s="2"/>
      <c r="N19" s="2"/>
      <c r="O19" s="2"/>
      <c r="P19" s="3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9"/>
      <c r="AD19" s="9"/>
    </row>
    <row r="20">
      <c r="D20" s="17" t="s">
        <v>7</v>
      </c>
      <c r="E20" s="1">
        <f>4+20</f>
        <v>24</v>
      </c>
      <c r="F20" s="3"/>
      <c r="L20" s="51" t="s">
        <v>85</v>
      </c>
      <c r="M20" s="2"/>
      <c r="N20" s="2"/>
      <c r="O20" s="2"/>
      <c r="P20" s="3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9"/>
      <c r="AD20" s="9"/>
    </row>
    <row r="21">
      <c r="E21" s="1" t="s">
        <v>300</v>
      </c>
      <c r="F21" s="3"/>
      <c r="L21" s="9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9"/>
      <c r="AD21" s="9"/>
    </row>
    <row r="22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9"/>
      <c r="AD23" s="9"/>
    </row>
    <row r="24">
      <c r="L24" s="9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9"/>
      <c r="AD24" s="9"/>
    </row>
    <row r="25">
      <c r="L25" s="9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9"/>
      <c r="AD25" s="9"/>
    </row>
    <row r="26"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L27" s="20"/>
      <c r="M27" s="20"/>
      <c r="N27" s="20"/>
      <c r="O27" s="20"/>
      <c r="P27" s="20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L28" s="20"/>
      <c r="M28" s="20"/>
      <c r="N28" s="20"/>
      <c r="O28" s="20"/>
      <c r="P28" s="20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</sheetData>
  <mergeCells count="21">
    <mergeCell ref="A1:C1"/>
    <mergeCell ref="E1:F1"/>
    <mergeCell ref="H1:I1"/>
    <mergeCell ref="L1:X1"/>
    <mergeCell ref="B2:C2"/>
    <mergeCell ref="B3:C3"/>
    <mergeCell ref="B4:C4"/>
    <mergeCell ref="D18:F18"/>
    <mergeCell ref="E19:F19"/>
    <mergeCell ref="G19:I19"/>
    <mergeCell ref="L19:P19"/>
    <mergeCell ref="E20:F20"/>
    <mergeCell ref="L20:P20"/>
    <mergeCell ref="E21:F21"/>
    <mergeCell ref="B5:C5"/>
    <mergeCell ref="B6:C6"/>
    <mergeCell ref="B7:C7"/>
    <mergeCell ref="B8:C8"/>
    <mergeCell ref="B9:C9"/>
    <mergeCell ref="B10:C10"/>
    <mergeCell ref="G18:I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7" max="7" width="5.0"/>
    <col customWidth="1" min="8" max="8" width="13.25"/>
    <col customWidth="1" min="9" max="9" width="14.38"/>
    <col customWidth="1" min="10" max="11" width="5.0"/>
    <col customWidth="1" min="12" max="12" width="4.88"/>
    <col customWidth="1" min="13" max="13" width="5.38"/>
    <col customWidth="1" min="14" max="14" width="5.13"/>
    <col customWidth="1" min="15" max="16" width="5.25"/>
    <col customWidth="1" min="17" max="18" width="5.13"/>
    <col customWidth="1" min="19" max="19" width="5.5"/>
    <col customWidth="1" min="20" max="21" width="4.88"/>
    <col customWidth="1" min="22" max="22" width="4.75"/>
    <col customWidth="1" min="23" max="23" width="4.88"/>
    <col customWidth="1" min="24" max="24" width="5.13"/>
    <col customWidth="1" min="25" max="25" width="5.75"/>
    <col customWidth="1" min="26" max="30" width="4.75"/>
  </cols>
  <sheetData>
    <row r="1">
      <c r="A1" s="1" t="s">
        <v>0</v>
      </c>
      <c r="B1" s="2"/>
      <c r="C1" s="3"/>
      <c r="E1" s="1" t="s">
        <v>1</v>
      </c>
      <c r="F1" s="3"/>
      <c r="H1" s="1" t="s">
        <v>2</v>
      </c>
      <c r="I1" s="3"/>
      <c r="L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>
        <v>1.0</v>
      </c>
      <c r="B2" s="5" t="s">
        <v>301</v>
      </c>
      <c r="C2" s="3"/>
      <c r="E2" s="6" t="s">
        <v>302</v>
      </c>
      <c r="F2" s="6" t="s">
        <v>303</v>
      </c>
      <c r="G2" s="7"/>
      <c r="H2" s="26" t="s">
        <v>215</v>
      </c>
      <c r="I2" s="25" t="s">
        <v>304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</row>
    <row r="3">
      <c r="A3" s="10">
        <v>2.0</v>
      </c>
      <c r="B3" s="5" t="s">
        <v>305</v>
      </c>
      <c r="C3" s="3"/>
      <c r="E3" s="6" t="s">
        <v>306</v>
      </c>
      <c r="F3" s="6" t="s">
        <v>307</v>
      </c>
      <c r="G3" s="7"/>
      <c r="H3" s="34" t="s">
        <v>308</v>
      </c>
      <c r="I3" s="34" t="s">
        <v>309</v>
      </c>
      <c r="L3" s="27" t="s">
        <v>17</v>
      </c>
      <c r="M3" s="29" t="s">
        <v>18</v>
      </c>
      <c r="N3" s="29" t="s">
        <v>75</v>
      </c>
      <c r="O3" s="29" t="s">
        <v>24</v>
      </c>
      <c r="P3" s="29" t="s">
        <v>22</v>
      </c>
      <c r="Q3" s="41" t="s">
        <v>74</v>
      </c>
      <c r="R3" s="41" t="s">
        <v>77</v>
      </c>
      <c r="S3" s="41" t="s">
        <v>25</v>
      </c>
      <c r="T3" s="41" t="s">
        <v>23</v>
      </c>
      <c r="U3" s="42" t="s">
        <v>28</v>
      </c>
      <c r="V3" s="41"/>
      <c r="W3" s="41"/>
      <c r="X3" s="43"/>
      <c r="Y3" s="43"/>
      <c r="Z3" s="43"/>
      <c r="AA3" s="43"/>
      <c r="AB3" s="43"/>
      <c r="AC3" s="43"/>
      <c r="AD3" s="43"/>
    </row>
    <row r="4">
      <c r="A4" s="10">
        <v>3.0</v>
      </c>
      <c r="B4" s="5" t="s">
        <v>310</v>
      </c>
      <c r="C4" s="3"/>
      <c r="E4" s="6" t="s">
        <v>311</v>
      </c>
      <c r="F4" s="6" t="s">
        <v>312</v>
      </c>
      <c r="G4" s="7"/>
      <c r="H4" s="25" t="s">
        <v>313</v>
      </c>
      <c r="I4" s="6" t="s">
        <v>312</v>
      </c>
      <c r="L4" s="41"/>
      <c r="M4" s="41" t="s">
        <v>17</v>
      </c>
      <c r="N4" s="41" t="s">
        <v>17</v>
      </c>
      <c r="O4" s="41" t="s">
        <v>17</v>
      </c>
      <c r="P4" s="41" t="s">
        <v>18</v>
      </c>
      <c r="Q4" s="41" t="s">
        <v>18</v>
      </c>
      <c r="R4" s="41" t="s">
        <v>75</v>
      </c>
      <c r="S4" s="41" t="s">
        <v>75</v>
      </c>
      <c r="T4" s="41" t="s">
        <v>24</v>
      </c>
      <c r="U4" s="41" t="s">
        <v>22</v>
      </c>
      <c r="V4" s="41"/>
      <c r="W4" s="41"/>
      <c r="X4" s="43"/>
      <c r="Y4" s="43"/>
      <c r="Z4" s="43"/>
      <c r="AA4" s="43"/>
      <c r="AB4" s="43"/>
      <c r="AC4" s="43"/>
      <c r="AD4" s="43"/>
    </row>
    <row r="5">
      <c r="A5" s="10"/>
      <c r="B5" s="5"/>
      <c r="C5" s="3"/>
      <c r="E5" s="6" t="s">
        <v>314</v>
      </c>
      <c r="F5" s="6" t="s">
        <v>315</v>
      </c>
      <c r="G5" s="7"/>
      <c r="H5" s="26" t="s">
        <v>268</v>
      </c>
      <c r="I5" s="6" t="s">
        <v>315</v>
      </c>
      <c r="L5" s="43"/>
      <c r="M5" s="41">
        <v>11.0</v>
      </c>
      <c r="N5" s="41">
        <v>9.0</v>
      </c>
      <c r="O5" s="41">
        <v>5.0</v>
      </c>
      <c r="P5" s="41">
        <v>11.0</v>
      </c>
      <c r="Q5" s="41">
        <v>7.0</v>
      </c>
      <c r="R5" s="41">
        <v>9.0</v>
      </c>
      <c r="S5" s="41">
        <v>3.0</v>
      </c>
      <c r="T5" s="41">
        <v>5.0</v>
      </c>
      <c r="U5" s="41">
        <v>11.0</v>
      </c>
      <c r="V5" s="41"/>
      <c r="W5" s="41"/>
      <c r="X5" s="43"/>
      <c r="Y5" s="43"/>
      <c r="Z5" s="43"/>
      <c r="AA5" s="43"/>
      <c r="AB5" s="43"/>
      <c r="AC5" s="43"/>
      <c r="AD5" s="43"/>
    </row>
    <row r="6">
      <c r="A6" s="10"/>
      <c r="B6" s="5"/>
      <c r="C6" s="3"/>
      <c r="E6" s="6" t="s">
        <v>316</v>
      </c>
      <c r="F6" s="6" t="s">
        <v>317</v>
      </c>
      <c r="G6" s="7"/>
      <c r="H6" s="6" t="s">
        <v>316</v>
      </c>
      <c r="I6" s="6" t="s">
        <v>317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12"/>
      <c r="B7" s="13"/>
      <c r="C7" s="3"/>
      <c r="E7" s="6" t="s">
        <v>318</v>
      </c>
      <c r="F7" s="6" t="s">
        <v>319</v>
      </c>
      <c r="G7" s="7"/>
      <c r="H7" s="6" t="s">
        <v>318</v>
      </c>
      <c r="I7" s="6" t="s">
        <v>319</v>
      </c>
      <c r="L7" s="27" t="s">
        <v>17</v>
      </c>
      <c r="M7" s="29" t="s">
        <v>75</v>
      </c>
      <c r="N7" s="29" t="s">
        <v>24</v>
      </c>
      <c r="O7" s="29" t="s">
        <v>77</v>
      </c>
      <c r="P7" s="29" t="s">
        <v>25</v>
      </c>
      <c r="Q7" s="29" t="s">
        <v>22</v>
      </c>
      <c r="R7" s="41" t="s">
        <v>23</v>
      </c>
      <c r="S7" s="41" t="s">
        <v>76</v>
      </c>
      <c r="T7" s="41" t="s">
        <v>18</v>
      </c>
      <c r="U7" s="42" t="s">
        <v>28</v>
      </c>
      <c r="V7" s="41"/>
      <c r="W7" s="41"/>
      <c r="X7" s="43"/>
      <c r="Y7" s="43"/>
      <c r="Z7" s="43"/>
      <c r="AA7" s="43"/>
      <c r="AB7" s="43"/>
      <c r="AC7" s="43"/>
      <c r="AD7" s="43"/>
    </row>
    <row r="8">
      <c r="A8" s="12"/>
      <c r="B8" s="13"/>
      <c r="C8" s="3"/>
      <c r="E8" s="6" t="s">
        <v>320</v>
      </c>
      <c r="F8" s="6" t="s">
        <v>321</v>
      </c>
      <c r="G8" s="7"/>
      <c r="H8" s="26" t="s">
        <v>322</v>
      </c>
      <c r="I8" s="6" t="s">
        <v>321</v>
      </c>
      <c r="L8" s="41"/>
      <c r="M8" s="41" t="s">
        <v>17</v>
      </c>
      <c r="N8" s="41" t="s">
        <v>17</v>
      </c>
      <c r="O8" s="41" t="s">
        <v>75</v>
      </c>
      <c r="P8" s="41" t="s">
        <v>75</v>
      </c>
      <c r="Q8" s="41" t="s">
        <v>24</v>
      </c>
      <c r="R8" s="41" t="s">
        <v>24</v>
      </c>
      <c r="S8" s="41" t="s">
        <v>77</v>
      </c>
      <c r="T8" s="41" t="s">
        <v>79</v>
      </c>
      <c r="U8" s="41" t="s">
        <v>23</v>
      </c>
      <c r="V8" s="41"/>
      <c r="W8" s="41"/>
      <c r="X8" s="43"/>
      <c r="Y8" s="43"/>
      <c r="Z8" s="43"/>
      <c r="AA8" s="43"/>
      <c r="AB8" s="43"/>
      <c r="AC8" s="43"/>
      <c r="AD8" s="43"/>
    </row>
    <row r="9">
      <c r="A9" s="12"/>
      <c r="B9" s="13"/>
      <c r="C9" s="3"/>
      <c r="E9" s="6" t="s">
        <v>323</v>
      </c>
      <c r="F9" s="6"/>
      <c r="G9" s="7"/>
      <c r="H9" s="34" t="s">
        <v>324</v>
      </c>
      <c r="I9" s="6"/>
      <c r="L9" s="43"/>
      <c r="M9" s="41">
        <v>9.0</v>
      </c>
      <c r="N9" s="41">
        <v>5.0</v>
      </c>
      <c r="O9" s="41">
        <v>9.0</v>
      </c>
      <c r="P9" s="41">
        <v>3.0</v>
      </c>
      <c r="Q9" s="41">
        <v>5.0</v>
      </c>
      <c r="R9" s="41">
        <v>5.0</v>
      </c>
      <c r="S9" s="41">
        <v>9.0</v>
      </c>
      <c r="T9" s="41">
        <v>5.0</v>
      </c>
      <c r="U9" s="41">
        <v>5.0</v>
      </c>
      <c r="V9" s="41"/>
      <c r="W9" s="41"/>
      <c r="X9" s="43"/>
      <c r="Y9" s="43"/>
      <c r="Z9" s="43"/>
      <c r="AA9" s="43"/>
      <c r="AB9" s="43"/>
      <c r="AC9" s="43"/>
      <c r="AD9" s="43"/>
    </row>
    <row r="10">
      <c r="A10" s="53" t="s">
        <v>137</v>
      </c>
      <c r="B10" s="47">
        <v>25.0</v>
      </c>
      <c r="C10" s="3"/>
      <c r="E10" s="6" t="s">
        <v>325</v>
      </c>
      <c r="F10" s="6"/>
      <c r="G10" s="7"/>
      <c r="H10" s="6" t="s">
        <v>325</v>
      </c>
      <c r="I10" s="6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E11" s="6" t="s">
        <v>237</v>
      </c>
      <c r="F11" s="6"/>
      <c r="G11" s="7"/>
      <c r="H11" s="34" t="s">
        <v>326</v>
      </c>
      <c r="I11" s="6"/>
      <c r="L11" s="27" t="s">
        <v>17</v>
      </c>
      <c r="M11" s="29" t="s">
        <v>75</v>
      </c>
      <c r="N11" s="29" t="s">
        <v>77</v>
      </c>
      <c r="O11" s="29" t="s">
        <v>25</v>
      </c>
      <c r="P11" s="29" t="s">
        <v>76</v>
      </c>
      <c r="Q11" s="29" t="s">
        <v>22</v>
      </c>
      <c r="R11" s="29" t="s">
        <v>19</v>
      </c>
      <c r="S11" s="29" t="s">
        <v>18</v>
      </c>
      <c r="T11" s="29" t="s">
        <v>20</v>
      </c>
      <c r="U11" s="41" t="s">
        <v>74</v>
      </c>
      <c r="V11" s="42" t="s">
        <v>28</v>
      </c>
      <c r="W11" s="41"/>
      <c r="X11" s="43"/>
      <c r="Y11" s="43"/>
      <c r="Z11" s="43"/>
      <c r="AA11" s="43"/>
      <c r="AB11" s="43"/>
      <c r="AC11" s="43"/>
      <c r="AD11" s="43"/>
    </row>
    <row r="12">
      <c r="E12" s="6" t="s">
        <v>327</v>
      </c>
      <c r="F12" s="16"/>
      <c r="G12" s="7"/>
      <c r="H12" s="34" t="s">
        <v>328</v>
      </c>
      <c r="I12" s="16"/>
      <c r="L12" s="41"/>
      <c r="M12" s="41" t="s">
        <v>17</v>
      </c>
      <c r="N12" s="41" t="s">
        <v>75</v>
      </c>
      <c r="O12" s="41" t="s">
        <v>75</v>
      </c>
      <c r="P12" s="41" t="s">
        <v>77</v>
      </c>
      <c r="Q12" s="41" t="s">
        <v>25</v>
      </c>
      <c r="R12" s="41" t="s">
        <v>76</v>
      </c>
      <c r="S12" s="41" t="s">
        <v>79</v>
      </c>
      <c r="T12" s="41" t="s">
        <v>19</v>
      </c>
      <c r="U12" s="41" t="s">
        <v>18</v>
      </c>
      <c r="V12" s="41" t="s">
        <v>20</v>
      </c>
      <c r="W12" s="41"/>
      <c r="X12" s="43"/>
      <c r="Y12" s="43"/>
      <c r="Z12" s="43"/>
      <c r="AA12" s="43"/>
      <c r="AB12" s="43"/>
      <c r="AC12" s="43"/>
      <c r="AD12" s="43"/>
    </row>
    <row r="13">
      <c r="E13" s="6" t="s">
        <v>329</v>
      </c>
      <c r="F13" s="16"/>
      <c r="G13" s="7"/>
      <c r="H13" s="6" t="s">
        <v>329</v>
      </c>
      <c r="I13" s="16"/>
      <c r="L13" s="43"/>
      <c r="M13" s="41">
        <v>9.0</v>
      </c>
      <c r="N13" s="41">
        <v>9.0</v>
      </c>
      <c r="O13" s="41">
        <v>3.0</v>
      </c>
      <c r="P13" s="41">
        <v>9.0</v>
      </c>
      <c r="Q13" s="41">
        <v>3.0</v>
      </c>
      <c r="R13" s="41">
        <v>9.0</v>
      </c>
      <c r="S13" s="41">
        <v>3.0</v>
      </c>
      <c r="T13" s="41">
        <v>9.0</v>
      </c>
      <c r="U13" s="41">
        <v>3.0</v>
      </c>
      <c r="V13" s="41">
        <v>9.0</v>
      </c>
      <c r="W13" s="41"/>
      <c r="X13" s="43"/>
      <c r="Y13" s="43"/>
      <c r="Z13" s="43"/>
      <c r="AA13" s="43"/>
      <c r="AB13" s="43"/>
      <c r="AC13" s="43"/>
      <c r="AD13" s="43"/>
    </row>
    <row r="14">
      <c r="E14" s="6" t="s">
        <v>330</v>
      </c>
      <c r="F14" s="16"/>
      <c r="G14" s="7"/>
      <c r="H14" s="25" t="s">
        <v>331</v>
      </c>
      <c r="I14" s="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E15" s="6" t="s">
        <v>332</v>
      </c>
      <c r="F15" s="16"/>
      <c r="G15" s="7"/>
      <c r="H15" s="34" t="s">
        <v>333</v>
      </c>
      <c r="I15" s="16"/>
      <c r="L15" s="27" t="s">
        <v>17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3"/>
      <c r="Y15" s="43"/>
      <c r="Z15" s="43"/>
      <c r="AA15" s="43"/>
      <c r="AB15" s="43"/>
      <c r="AC15" s="43"/>
      <c r="AD15" s="43"/>
    </row>
    <row r="16"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3"/>
      <c r="Y16" s="43"/>
      <c r="Z16" s="43"/>
      <c r="AA16" s="43"/>
      <c r="AB16" s="43"/>
      <c r="AC16" s="43"/>
      <c r="AD16" s="43"/>
    </row>
    <row r="17">
      <c r="L17" s="43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3"/>
      <c r="Y17" s="43"/>
      <c r="Z17" s="43"/>
      <c r="AA17" s="43"/>
      <c r="AB17" s="43"/>
      <c r="AC17" s="43"/>
      <c r="AD17" s="43"/>
    </row>
    <row r="18">
      <c r="D18" s="1" t="s">
        <v>4</v>
      </c>
      <c r="E18" s="2"/>
      <c r="F18" s="3"/>
      <c r="G18" s="1" t="s">
        <v>5</v>
      </c>
      <c r="H18" s="2"/>
      <c r="I18" s="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D19" s="17" t="s">
        <v>6</v>
      </c>
      <c r="E19" s="18" t="s">
        <v>334</v>
      </c>
      <c r="F19" s="3"/>
      <c r="G19" s="19" t="s">
        <v>335</v>
      </c>
      <c r="H19" s="2"/>
      <c r="I19" s="3"/>
      <c r="L19" s="51" t="s">
        <v>156</v>
      </c>
      <c r="M19" s="2"/>
      <c r="N19" s="2"/>
      <c r="O19" s="2"/>
      <c r="P19" s="3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9"/>
      <c r="AD19" s="9"/>
    </row>
    <row r="20">
      <c r="D20" s="17" t="s">
        <v>7</v>
      </c>
      <c r="E20" s="1">
        <f>11+9+5</f>
        <v>25</v>
      </c>
      <c r="F20" s="3"/>
      <c r="L20" s="51" t="s">
        <v>85</v>
      </c>
      <c r="M20" s="2"/>
      <c r="N20" s="2"/>
      <c r="O20" s="2"/>
      <c r="P20" s="3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9"/>
      <c r="AD20" s="9"/>
    </row>
    <row r="21">
      <c r="L21" s="20" t="s">
        <v>18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9"/>
      <c r="AD21" s="9"/>
    </row>
    <row r="22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9"/>
      <c r="AD23" s="9"/>
    </row>
    <row r="24">
      <c r="L24" s="9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9"/>
      <c r="AD24" s="9"/>
    </row>
    <row r="25">
      <c r="L25" s="9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9"/>
      <c r="AD25" s="9"/>
    </row>
    <row r="26"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L27" s="20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L28" s="20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</sheetData>
  <mergeCells count="25">
    <mergeCell ref="B5:C5"/>
    <mergeCell ref="B6:C6"/>
    <mergeCell ref="B7:C7"/>
    <mergeCell ref="B8:C8"/>
    <mergeCell ref="B9:C9"/>
    <mergeCell ref="B10:C10"/>
    <mergeCell ref="A1:C1"/>
    <mergeCell ref="E1:F1"/>
    <mergeCell ref="H1:I1"/>
    <mergeCell ref="L1:X1"/>
    <mergeCell ref="B2:C2"/>
    <mergeCell ref="B3:C3"/>
    <mergeCell ref="B4:C4"/>
    <mergeCell ref="G19:I19"/>
    <mergeCell ref="G18:I18"/>
    <mergeCell ref="L19:P19"/>
    <mergeCell ref="L20:P20"/>
    <mergeCell ref="D18:F18"/>
    <mergeCell ref="E19:F19"/>
    <mergeCell ref="E20:F20"/>
    <mergeCell ref="E21:F21"/>
    <mergeCell ref="E22:F22"/>
    <mergeCell ref="L27:P27"/>
    <mergeCell ref="L28:P28"/>
    <mergeCell ref="L21:P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7" max="7" width="5.0"/>
    <col customWidth="1" min="8" max="8" width="13.25"/>
    <col customWidth="1" min="9" max="9" width="14.38"/>
    <col customWidth="1" min="10" max="11" width="5.0"/>
    <col customWidth="1" min="12" max="12" width="4.88"/>
    <col customWidth="1" min="13" max="13" width="5.38"/>
    <col customWidth="1" min="14" max="14" width="5.13"/>
    <col customWidth="1" min="15" max="16" width="5.25"/>
    <col customWidth="1" min="17" max="18" width="5.13"/>
    <col customWidth="1" min="19" max="19" width="5.5"/>
    <col customWidth="1" min="20" max="21" width="4.88"/>
    <col customWidth="1" min="22" max="22" width="4.75"/>
    <col customWidth="1" min="23" max="23" width="4.88"/>
    <col customWidth="1" min="24" max="24" width="5.13"/>
    <col customWidth="1" min="25" max="25" width="5.75"/>
    <col customWidth="1" min="26" max="30" width="4.75"/>
  </cols>
  <sheetData>
    <row r="1">
      <c r="A1" s="1" t="s">
        <v>0</v>
      </c>
      <c r="B1" s="2"/>
      <c r="C1" s="3"/>
      <c r="E1" s="1" t="s">
        <v>1</v>
      </c>
      <c r="F1" s="3"/>
      <c r="H1" s="1" t="s">
        <v>2</v>
      </c>
      <c r="I1" s="3"/>
      <c r="L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>
        <v>1.0</v>
      </c>
      <c r="B2" s="5" t="s">
        <v>336</v>
      </c>
      <c r="C2" s="3"/>
      <c r="E2" s="6" t="s">
        <v>337</v>
      </c>
      <c r="F2" s="6" t="s">
        <v>338</v>
      </c>
      <c r="G2" s="7"/>
      <c r="H2" s="50" t="s">
        <v>339</v>
      </c>
      <c r="I2" s="50" t="s">
        <v>340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10">
        <v>2.0</v>
      </c>
      <c r="B3" s="5" t="s">
        <v>341</v>
      </c>
      <c r="C3" s="3"/>
      <c r="E3" s="6" t="s">
        <v>92</v>
      </c>
      <c r="F3" s="6" t="s">
        <v>342</v>
      </c>
      <c r="G3" s="7"/>
      <c r="H3" s="25" t="s">
        <v>94</v>
      </c>
      <c r="I3" s="50" t="s">
        <v>343</v>
      </c>
      <c r="L3" s="27" t="s">
        <v>17</v>
      </c>
      <c r="M3" s="29" t="s">
        <v>99</v>
      </c>
      <c r="N3" s="29" t="s">
        <v>97</v>
      </c>
      <c r="O3" s="29" t="s">
        <v>100</v>
      </c>
      <c r="P3" s="29" t="s">
        <v>122</v>
      </c>
      <c r="Q3" s="29" t="s">
        <v>129</v>
      </c>
      <c r="R3" s="29" t="s">
        <v>102</v>
      </c>
      <c r="S3" s="29" t="s">
        <v>103</v>
      </c>
      <c r="T3" s="29" t="s">
        <v>123</v>
      </c>
      <c r="U3" s="29" t="s">
        <v>124</v>
      </c>
      <c r="V3" s="41" t="s">
        <v>121</v>
      </c>
      <c r="W3" s="41" t="s">
        <v>98</v>
      </c>
      <c r="X3" s="41" t="s">
        <v>126</v>
      </c>
      <c r="Y3" s="41" t="s">
        <v>96</v>
      </c>
      <c r="Z3" s="41" t="s">
        <v>104</v>
      </c>
      <c r="AA3" s="42" t="s">
        <v>28</v>
      </c>
      <c r="AB3" s="43"/>
      <c r="AC3" s="43"/>
      <c r="AD3" s="43"/>
    </row>
    <row r="4">
      <c r="A4" s="10">
        <v>3.0</v>
      </c>
      <c r="B4" s="5" t="s">
        <v>344</v>
      </c>
      <c r="C4" s="3"/>
      <c r="E4" s="6" t="s">
        <v>345</v>
      </c>
      <c r="F4" s="6" t="s">
        <v>346</v>
      </c>
      <c r="G4" s="7"/>
      <c r="H4" s="34" t="s">
        <v>347</v>
      </c>
      <c r="I4" s="6" t="s">
        <v>346</v>
      </c>
      <c r="L4" s="41"/>
      <c r="M4" s="41" t="s">
        <v>17</v>
      </c>
      <c r="N4" s="41" t="s">
        <v>17</v>
      </c>
      <c r="O4" s="41" t="s">
        <v>17</v>
      </c>
      <c r="P4" s="41" t="s">
        <v>17</v>
      </c>
      <c r="Q4" s="41" t="s">
        <v>99</v>
      </c>
      <c r="R4" s="41" t="s">
        <v>97</v>
      </c>
      <c r="S4" s="41" t="s">
        <v>100</v>
      </c>
      <c r="T4" s="41" t="s">
        <v>100</v>
      </c>
      <c r="U4" s="41" t="s">
        <v>122</v>
      </c>
      <c r="V4" s="41" t="s">
        <v>129</v>
      </c>
      <c r="W4" s="41" t="s">
        <v>102</v>
      </c>
      <c r="X4" s="41" t="s">
        <v>103</v>
      </c>
      <c r="Y4" s="41" t="s">
        <v>123</v>
      </c>
      <c r="Z4" s="41" t="s">
        <v>124</v>
      </c>
      <c r="AA4" s="41" t="s">
        <v>121</v>
      </c>
      <c r="AB4" s="43"/>
      <c r="AC4" s="43"/>
      <c r="AD4" s="43"/>
    </row>
    <row r="5">
      <c r="A5" s="10">
        <v>4.0</v>
      </c>
      <c r="B5" s="5" t="s">
        <v>348</v>
      </c>
      <c r="C5" s="3"/>
      <c r="E5" s="6" t="s">
        <v>349</v>
      </c>
      <c r="F5" s="6" t="s">
        <v>350</v>
      </c>
      <c r="G5" s="7"/>
      <c r="H5" s="35" t="s">
        <v>351</v>
      </c>
      <c r="I5" s="50" t="s">
        <v>352</v>
      </c>
      <c r="L5" s="43"/>
      <c r="M5" s="41">
        <v>20.0</v>
      </c>
      <c r="N5" s="41">
        <v>10.0</v>
      </c>
      <c r="O5" s="41">
        <v>10.0</v>
      </c>
      <c r="P5" s="41">
        <v>10.0</v>
      </c>
      <c r="Q5" s="41">
        <v>20.0</v>
      </c>
      <c r="R5" s="41">
        <v>10.0</v>
      </c>
      <c r="S5" s="41">
        <v>10.0</v>
      </c>
      <c r="T5" s="41">
        <v>10.0</v>
      </c>
      <c r="U5" s="41">
        <v>10.0</v>
      </c>
      <c r="V5" s="41">
        <v>20.0</v>
      </c>
      <c r="W5" s="41">
        <v>10.0</v>
      </c>
      <c r="X5" s="41">
        <v>10.0</v>
      </c>
      <c r="Y5" s="41">
        <v>10.0</v>
      </c>
      <c r="Z5" s="41">
        <v>10.0</v>
      </c>
      <c r="AA5" s="41">
        <v>10.0</v>
      </c>
      <c r="AB5" s="43"/>
      <c r="AC5" s="43"/>
      <c r="AD5" s="43"/>
    </row>
    <row r="6">
      <c r="A6" s="10">
        <v>5.0</v>
      </c>
      <c r="B6" s="5" t="s">
        <v>353</v>
      </c>
      <c r="C6" s="3"/>
      <c r="E6" s="6" t="s">
        <v>354</v>
      </c>
      <c r="F6" s="6" t="s">
        <v>355</v>
      </c>
      <c r="G6" s="7"/>
      <c r="H6" s="34" t="s">
        <v>356</v>
      </c>
      <c r="I6" s="50" t="s">
        <v>357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12"/>
      <c r="B7" s="13"/>
      <c r="C7" s="3"/>
      <c r="E7" s="6" t="s">
        <v>358</v>
      </c>
      <c r="F7" s="6" t="s">
        <v>359</v>
      </c>
      <c r="G7" s="7"/>
      <c r="H7" s="50" t="s">
        <v>360</v>
      </c>
      <c r="I7" s="6" t="s">
        <v>359</v>
      </c>
      <c r="L7" s="27" t="s">
        <v>17</v>
      </c>
      <c r="M7" s="29" t="s">
        <v>99</v>
      </c>
      <c r="N7" s="29" t="s">
        <v>97</v>
      </c>
      <c r="O7" s="29" t="s">
        <v>100</v>
      </c>
      <c r="P7" s="29" t="s">
        <v>122</v>
      </c>
      <c r="Q7" s="29" t="s">
        <v>129</v>
      </c>
      <c r="R7" s="29" t="s">
        <v>102</v>
      </c>
      <c r="S7" s="29" t="s">
        <v>103</v>
      </c>
      <c r="T7" s="29" t="s">
        <v>123</v>
      </c>
      <c r="U7" s="29" t="s">
        <v>124</v>
      </c>
      <c r="V7" s="29" t="s">
        <v>121</v>
      </c>
      <c r="W7" s="29" t="s">
        <v>98</v>
      </c>
      <c r="X7" s="41" t="s">
        <v>126</v>
      </c>
      <c r="Y7" s="41" t="s">
        <v>96</v>
      </c>
      <c r="Z7" s="41" t="s">
        <v>104</v>
      </c>
      <c r="AA7" s="42" t="s">
        <v>28</v>
      </c>
      <c r="AB7" s="43"/>
      <c r="AC7" s="43"/>
      <c r="AD7" s="43"/>
    </row>
    <row r="8">
      <c r="A8" s="12"/>
      <c r="B8" s="13"/>
      <c r="C8" s="3"/>
      <c r="E8" s="6" t="s">
        <v>134</v>
      </c>
      <c r="F8" s="6" t="s">
        <v>361</v>
      </c>
      <c r="G8" s="7"/>
      <c r="H8" s="25" t="s">
        <v>362</v>
      </c>
      <c r="I8" s="26" t="s">
        <v>363</v>
      </c>
      <c r="L8" s="41"/>
      <c r="M8" s="41" t="s">
        <v>17</v>
      </c>
      <c r="N8" s="41" t="s">
        <v>17</v>
      </c>
      <c r="O8" s="41" t="s">
        <v>17</v>
      </c>
      <c r="P8" s="41" t="s">
        <v>17</v>
      </c>
      <c r="Q8" s="41" t="s">
        <v>99</v>
      </c>
      <c r="R8" s="41" t="s">
        <v>97</v>
      </c>
      <c r="S8" s="41" t="s">
        <v>100</v>
      </c>
      <c r="T8" s="41" t="s">
        <v>100</v>
      </c>
      <c r="U8" s="41" t="s">
        <v>122</v>
      </c>
      <c r="V8" s="41" t="s">
        <v>129</v>
      </c>
      <c r="W8" s="41" t="s">
        <v>102</v>
      </c>
      <c r="X8" s="41" t="s">
        <v>103</v>
      </c>
      <c r="Y8" s="41" t="s">
        <v>123</v>
      </c>
      <c r="Z8" s="41" t="s">
        <v>124</v>
      </c>
      <c r="AA8" s="41" t="s">
        <v>98</v>
      </c>
      <c r="AB8" s="43"/>
      <c r="AC8" s="43"/>
      <c r="AD8" s="43"/>
    </row>
    <row r="9">
      <c r="A9" s="12"/>
      <c r="B9" s="13"/>
      <c r="C9" s="3"/>
      <c r="E9" s="6" t="s">
        <v>364</v>
      </c>
      <c r="F9" s="6" t="s">
        <v>365</v>
      </c>
      <c r="G9" s="7"/>
      <c r="H9" s="50" t="s">
        <v>366</v>
      </c>
      <c r="I9" s="50" t="s">
        <v>367</v>
      </c>
      <c r="L9" s="43"/>
      <c r="M9" s="41">
        <v>10.0</v>
      </c>
      <c r="N9" s="41">
        <v>10.0</v>
      </c>
      <c r="O9" s="41">
        <v>10.0</v>
      </c>
      <c r="P9" s="41">
        <v>10.0</v>
      </c>
      <c r="Q9" s="41">
        <v>10.0</v>
      </c>
      <c r="R9" s="41">
        <v>10.0</v>
      </c>
      <c r="S9" s="41">
        <v>10.0</v>
      </c>
      <c r="T9" s="41">
        <v>10.0</v>
      </c>
      <c r="U9" s="41">
        <v>10.0</v>
      </c>
      <c r="V9" s="41">
        <v>10.0</v>
      </c>
      <c r="W9" s="41">
        <v>10.0</v>
      </c>
      <c r="X9" s="41">
        <v>10.0</v>
      </c>
      <c r="Y9" s="41">
        <v>10.0</v>
      </c>
      <c r="Z9" s="41">
        <v>10.0</v>
      </c>
      <c r="AA9" s="41">
        <v>10.0</v>
      </c>
      <c r="AB9" s="43"/>
      <c r="AC9" s="43"/>
      <c r="AD9" s="43"/>
    </row>
    <row r="10">
      <c r="A10" s="14" t="s">
        <v>137</v>
      </c>
      <c r="B10" s="15">
        <f>10+10+10+10+5</f>
        <v>45</v>
      </c>
      <c r="C10" s="3"/>
      <c r="E10" s="6" t="s">
        <v>368</v>
      </c>
      <c r="F10" s="6" t="s">
        <v>369</v>
      </c>
      <c r="G10" s="7"/>
      <c r="H10" s="50" t="s">
        <v>370</v>
      </c>
      <c r="I10" s="34" t="s">
        <v>371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E11" s="6" t="s">
        <v>372</v>
      </c>
      <c r="F11" s="6"/>
      <c r="G11" s="7"/>
      <c r="H11" s="50" t="s">
        <v>373</v>
      </c>
      <c r="I11" s="6"/>
      <c r="L11" s="27" t="s">
        <v>17</v>
      </c>
      <c r="M11" s="29" t="s">
        <v>99</v>
      </c>
      <c r="N11" s="29" t="s">
        <v>100</v>
      </c>
      <c r="O11" s="29" t="s">
        <v>122</v>
      </c>
      <c r="P11" s="29" t="s">
        <v>129</v>
      </c>
      <c r="Q11" s="29" t="s">
        <v>103</v>
      </c>
      <c r="R11" s="29" t="s">
        <v>123</v>
      </c>
      <c r="S11" s="29" t="s">
        <v>124</v>
      </c>
      <c r="T11" s="29" t="s">
        <v>121</v>
      </c>
      <c r="U11" s="29" t="s">
        <v>126</v>
      </c>
      <c r="V11" s="29" t="s">
        <v>96</v>
      </c>
      <c r="W11" s="41" t="s">
        <v>104</v>
      </c>
      <c r="X11" s="41" t="s">
        <v>98</v>
      </c>
      <c r="Y11" s="42" t="s">
        <v>28</v>
      </c>
      <c r="Z11" s="41"/>
      <c r="AA11" s="41"/>
      <c r="AB11" s="43"/>
      <c r="AC11" s="43"/>
      <c r="AD11" s="43"/>
    </row>
    <row r="12">
      <c r="E12" s="6" t="s">
        <v>374</v>
      </c>
      <c r="F12" s="16"/>
      <c r="G12" s="7"/>
      <c r="H12" s="50" t="s">
        <v>375</v>
      </c>
      <c r="I12" s="16"/>
      <c r="L12" s="41"/>
      <c r="M12" s="41" t="s">
        <v>17</v>
      </c>
      <c r="N12" s="41" t="s">
        <v>17</v>
      </c>
      <c r="O12" s="41" t="s">
        <v>17</v>
      </c>
      <c r="P12" s="41" t="s">
        <v>99</v>
      </c>
      <c r="Q12" s="41" t="s">
        <v>100</v>
      </c>
      <c r="R12" s="41" t="s">
        <v>100</v>
      </c>
      <c r="S12" s="41" t="s">
        <v>122</v>
      </c>
      <c r="T12" s="41" t="s">
        <v>129</v>
      </c>
      <c r="U12" s="41" t="s">
        <v>103</v>
      </c>
      <c r="V12" s="41" t="s">
        <v>123</v>
      </c>
      <c r="W12" s="41" t="s">
        <v>124</v>
      </c>
      <c r="X12" s="41" t="s">
        <v>126</v>
      </c>
      <c r="Y12" s="41" t="s">
        <v>96</v>
      </c>
      <c r="Z12" s="41"/>
      <c r="AA12" s="41"/>
      <c r="AB12" s="43"/>
      <c r="AC12" s="43"/>
      <c r="AD12" s="43"/>
    </row>
    <row r="13">
      <c r="E13" s="6" t="s">
        <v>376</v>
      </c>
      <c r="F13" s="16"/>
      <c r="G13" s="7"/>
      <c r="H13" s="50" t="s">
        <v>377</v>
      </c>
      <c r="I13" s="16"/>
      <c r="L13" s="43"/>
      <c r="M13" s="41">
        <v>10.0</v>
      </c>
      <c r="N13" s="41">
        <v>10.0</v>
      </c>
      <c r="O13" s="41">
        <v>10.0</v>
      </c>
      <c r="P13" s="41">
        <v>10.0</v>
      </c>
      <c r="Q13" s="41">
        <v>10.0</v>
      </c>
      <c r="R13" s="41">
        <v>10.0</v>
      </c>
      <c r="S13" s="41">
        <v>10.0</v>
      </c>
      <c r="T13" s="41">
        <v>10.0</v>
      </c>
      <c r="U13" s="41">
        <v>10.0</v>
      </c>
      <c r="V13" s="41">
        <v>10.0</v>
      </c>
      <c r="W13" s="41">
        <v>10.0</v>
      </c>
      <c r="X13" s="41">
        <v>10.0</v>
      </c>
      <c r="Y13" s="41">
        <v>10.0</v>
      </c>
      <c r="Z13" s="41"/>
      <c r="AA13" s="41"/>
      <c r="AB13" s="43"/>
      <c r="AC13" s="43"/>
      <c r="AD13" s="43"/>
    </row>
    <row r="14">
      <c r="E14" s="6" t="s">
        <v>378</v>
      </c>
      <c r="F14" s="16"/>
      <c r="G14" s="7"/>
      <c r="H14" s="25" t="s">
        <v>379</v>
      </c>
      <c r="I14" s="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E15" s="6" t="s">
        <v>380</v>
      </c>
      <c r="F15" s="16"/>
      <c r="G15" s="7"/>
      <c r="H15" s="50" t="s">
        <v>381</v>
      </c>
      <c r="I15" s="16"/>
      <c r="L15" s="27" t="s">
        <v>17</v>
      </c>
      <c r="M15" s="29" t="s">
        <v>99</v>
      </c>
      <c r="N15" s="29" t="s">
        <v>122</v>
      </c>
      <c r="O15" s="29" t="s">
        <v>129</v>
      </c>
      <c r="P15" s="29" t="s">
        <v>124</v>
      </c>
      <c r="Q15" s="29" t="s">
        <v>121</v>
      </c>
      <c r="R15" s="29" t="s">
        <v>104</v>
      </c>
      <c r="S15" s="41" t="s">
        <v>126</v>
      </c>
      <c r="T15" s="42" t="s">
        <v>28</v>
      </c>
      <c r="U15" s="41"/>
      <c r="V15" s="41"/>
      <c r="W15" s="41"/>
      <c r="X15" s="41"/>
      <c r="Y15" s="41"/>
      <c r="Z15" s="43"/>
      <c r="AA15" s="43"/>
      <c r="AB15" s="43"/>
      <c r="AC15" s="43"/>
      <c r="AD15" s="43"/>
    </row>
    <row r="16">
      <c r="L16" s="43"/>
      <c r="M16" s="41" t="s">
        <v>17</v>
      </c>
      <c r="N16" s="41" t="s">
        <v>17</v>
      </c>
      <c r="O16" s="41" t="s">
        <v>99</v>
      </c>
      <c r="P16" s="41" t="s">
        <v>122</v>
      </c>
      <c r="Q16" s="41" t="s">
        <v>129</v>
      </c>
      <c r="R16" s="41" t="s">
        <v>124</v>
      </c>
      <c r="S16" s="41" t="s">
        <v>121</v>
      </c>
      <c r="T16" s="41" t="s">
        <v>104</v>
      </c>
      <c r="U16" s="41"/>
      <c r="V16" s="41"/>
      <c r="W16" s="41"/>
      <c r="X16" s="41"/>
      <c r="Y16" s="41"/>
      <c r="Z16" s="43"/>
      <c r="AA16" s="43"/>
      <c r="AB16" s="43"/>
      <c r="AC16" s="43"/>
      <c r="AD16" s="43"/>
    </row>
    <row r="17">
      <c r="L17" s="43"/>
      <c r="M17" s="41">
        <v>10.0</v>
      </c>
      <c r="N17" s="41">
        <v>10.0</v>
      </c>
      <c r="O17" s="41">
        <v>10.0</v>
      </c>
      <c r="P17" s="41">
        <v>10.0</v>
      </c>
      <c r="Q17" s="41">
        <v>10.0</v>
      </c>
      <c r="R17" s="41">
        <v>10.0</v>
      </c>
      <c r="S17" s="41">
        <v>10.0</v>
      </c>
      <c r="T17" s="41">
        <v>10.0</v>
      </c>
      <c r="U17" s="41"/>
      <c r="V17" s="41"/>
      <c r="W17" s="41"/>
      <c r="X17" s="41"/>
      <c r="Y17" s="41"/>
      <c r="Z17" s="43"/>
      <c r="AA17" s="43"/>
      <c r="AB17" s="43"/>
      <c r="AC17" s="43"/>
      <c r="AD17" s="43"/>
    </row>
    <row r="18">
      <c r="D18" s="1" t="s">
        <v>4</v>
      </c>
      <c r="E18" s="2"/>
      <c r="F18" s="3"/>
      <c r="G18" s="1" t="s">
        <v>5</v>
      </c>
      <c r="H18" s="2"/>
      <c r="I18" s="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D19" s="17" t="s">
        <v>6</v>
      </c>
      <c r="E19" s="18" t="s">
        <v>382</v>
      </c>
      <c r="F19" s="3"/>
      <c r="G19" s="19" t="s">
        <v>383</v>
      </c>
      <c r="H19" s="2"/>
      <c r="I19" s="3"/>
      <c r="L19" s="27" t="s">
        <v>17</v>
      </c>
      <c r="M19" s="29" t="s">
        <v>99</v>
      </c>
      <c r="N19" s="29" t="s">
        <v>129</v>
      </c>
      <c r="O19" s="29" t="s">
        <v>121</v>
      </c>
      <c r="P19" s="29" t="s">
        <v>126</v>
      </c>
      <c r="Q19" s="29" t="s">
        <v>98</v>
      </c>
      <c r="R19" s="29" t="s">
        <v>102</v>
      </c>
      <c r="S19" s="29" t="s">
        <v>123</v>
      </c>
      <c r="T19" s="29" t="s">
        <v>97</v>
      </c>
      <c r="U19" s="29" t="s">
        <v>100</v>
      </c>
      <c r="V19" s="29" t="s">
        <v>103</v>
      </c>
      <c r="W19" s="29" t="s">
        <v>122</v>
      </c>
      <c r="X19" s="29" t="s">
        <v>124</v>
      </c>
      <c r="Y19" s="41" t="s">
        <v>104</v>
      </c>
      <c r="Z19" s="42" t="s">
        <v>28</v>
      </c>
      <c r="AA19" s="43"/>
      <c r="AB19" s="43"/>
      <c r="AC19" s="43"/>
      <c r="AD19" s="43"/>
    </row>
    <row r="20">
      <c r="D20" s="17" t="s">
        <v>7</v>
      </c>
      <c r="E20" s="1">
        <f>10+10+10+15</f>
        <v>45</v>
      </c>
      <c r="F20" s="3"/>
      <c r="L20" s="43"/>
      <c r="M20" s="41" t="s">
        <v>17</v>
      </c>
      <c r="N20" s="41" t="s">
        <v>99</v>
      </c>
      <c r="O20" s="41" t="s">
        <v>129</v>
      </c>
      <c r="P20" s="41" t="s">
        <v>121</v>
      </c>
      <c r="Q20" s="41" t="s">
        <v>126</v>
      </c>
      <c r="R20" s="41" t="s">
        <v>384</v>
      </c>
      <c r="S20" s="41" t="s">
        <v>102</v>
      </c>
      <c r="T20" s="41" t="s">
        <v>385</v>
      </c>
      <c r="U20" s="41" t="s">
        <v>386</v>
      </c>
      <c r="V20" s="41" t="s">
        <v>100</v>
      </c>
      <c r="W20" s="41" t="s">
        <v>103</v>
      </c>
      <c r="X20" s="41" t="s">
        <v>122</v>
      </c>
      <c r="Y20" s="41" t="s">
        <v>124</v>
      </c>
      <c r="Z20" s="41" t="s">
        <v>104</v>
      </c>
      <c r="AA20" s="43"/>
      <c r="AB20" s="43"/>
      <c r="AC20" s="43"/>
      <c r="AD20" s="43"/>
    </row>
    <row r="21">
      <c r="L21" s="43"/>
      <c r="M21" s="41">
        <v>10.0</v>
      </c>
      <c r="N21" s="41">
        <v>10.0</v>
      </c>
      <c r="O21" s="41">
        <v>10.0</v>
      </c>
      <c r="P21" s="41">
        <v>10.0</v>
      </c>
      <c r="Q21" s="41">
        <v>10.0</v>
      </c>
      <c r="R21" s="41">
        <v>10.0</v>
      </c>
      <c r="S21" s="41">
        <v>10.0</v>
      </c>
      <c r="T21" s="41">
        <v>10.0</v>
      </c>
      <c r="U21" s="41">
        <v>10.0</v>
      </c>
      <c r="V21" s="41">
        <v>10.0</v>
      </c>
      <c r="W21" s="41">
        <v>10.0</v>
      </c>
      <c r="X21" s="41">
        <v>5.0</v>
      </c>
      <c r="Y21" s="41">
        <v>5.0</v>
      </c>
      <c r="Z21" s="41">
        <v>5.0</v>
      </c>
      <c r="AA21" s="43"/>
      <c r="AB21" s="43"/>
      <c r="AC21" s="43"/>
      <c r="AD21" s="43"/>
    </row>
    <row r="22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L23" s="27" t="s">
        <v>17</v>
      </c>
      <c r="M23" s="29" t="s">
        <v>99</v>
      </c>
      <c r="N23" s="29" t="s">
        <v>129</v>
      </c>
      <c r="O23" s="29" t="s">
        <v>121</v>
      </c>
      <c r="P23" s="29" t="s">
        <v>126</v>
      </c>
      <c r="Q23" s="29" t="s">
        <v>98</v>
      </c>
      <c r="R23" s="29" t="s">
        <v>102</v>
      </c>
      <c r="S23" s="29" t="s">
        <v>123</v>
      </c>
      <c r="T23" s="29" t="s">
        <v>97</v>
      </c>
      <c r="U23" s="29" t="s">
        <v>100</v>
      </c>
      <c r="V23" s="29" t="s">
        <v>103</v>
      </c>
      <c r="W23" s="29" t="s">
        <v>122</v>
      </c>
      <c r="X23" s="41"/>
      <c r="Y23" s="41"/>
      <c r="Z23" s="41"/>
      <c r="AA23" s="43"/>
      <c r="AB23" s="43"/>
      <c r="AC23" s="43"/>
      <c r="AD23" s="43"/>
    </row>
    <row r="24">
      <c r="L24" s="43"/>
      <c r="M24" s="41" t="s">
        <v>17</v>
      </c>
      <c r="N24" s="41" t="s">
        <v>99</v>
      </c>
      <c r="O24" s="41" t="s">
        <v>129</v>
      </c>
      <c r="P24" s="41" t="s">
        <v>121</v>
      </c>
      <c r="Q24" s="41" t="s">
        <v>126</v>
      </c>
      <c r="R24" s="41" t="s">
        <v>384</v>
      </c>
      <c r="S24" s="41" t="s">
        <v>102</v>
      </c>
      <c r="T24" s="41" t="s">
        <v>385</v>
      </c>
      <c r="U24" s="41" t="s">
        <v>386</v>
      </c>
      <c r="V24" s="41" t="s">
        <v>100</v>
      </c>
      <c r="W24" s="41" t="s">
        <v>103</v>
      </c>
      <c r="X24" s="41"/>
      <c r="Y24" s="41"/>
      <c r="Z24" s="41"/>
      <c r="AA24" s="43"/>
      <c r="AB24" s="43"/>
      <c r="AC24" s="43"/>
      <c r="AD24" s="43"/>
    </row>
    <row r="25">
      <c r="L25" s="43"/>
      <c r="M25" s="41">
        <v>5.0</v>
      </c>
      <c r="N25" s="41">
        <v>5.0</v>
      </c>
      <c r="O25" s="41">
        <v>5.0</v>
      </c>
      <c r="P25" s="41">
        <v>5.0</v>
      </c>
      <c r="Q25" s="41">
        <v>5.0</v>
      </c>
      <c r="R25" s="41">
        <v>5.0</v>
      </c>
      <c r="S25" s="41">
        <v>5.0</v>
      </c>
      <c r="T25" s="41">
        <v>5.0</v>
      </c>
      <c r="U25" s="41">
        <v>5.0</v>
      </c>
      <c r="V25" s="41">
        <v>5.0</v>
      </c>
      <c r="W25" s="41">
        <v>5.0</v>
      </c>
      <c r="X25" s="41"/>
      <c r="Y25" s="41"/>
      <c r="Z25" s="41"/>
      <c r="AA25" s="43"/>
      <c r="AB25" s="43"/>
      <c r="AC25" s="43"/>
      <c r="AD25" s="43"/>
    </row>
    <row r="26"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L27" s="51" t="s">
        <v>156</v>
      </c>
      <c r="M27" s="2"/>
      <c r="N27" s="2"/>
      <c r="O27" s="2"/>
      <c r="P27" s="3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L28" s="51" t="s">
        <v>85</v>
      </c>
      <c r="M28" s="2"/>
      <c r="N28" s="2"/>
      <c r="O28" s="2"/>
      <c r="P28" s="3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</sheetData>
  <mergeCells count="22">
    <mergeCell ref="B5:C5"/>
    <mergeCell ref="B6:C6"/>
    <mergeCell ref="B7:C7"/>
    <mergeCell ref="B8:C8"/>
    <mergeCell ref="B9:C9"/>
    <mergeCell ref="B10:C10"/>
    <mergeCell ref="A1:C1"/>
    <mergeCell ref="E1:F1"/>
    <mergeCell ref="H1:I1"/>
    <mergeCell ref="L1:X1"/>
    <mergeCell ref="B2:C2"/>
    <mergeCell ref="B3:C3"/>
    <mergeCell ref="B4:C4"/>
    <mergeCell ref="G19:I19"/>
    <mergeCell ref="G18:I18"/>
    <mergeCell ref="D18:F18"/>
    <mergeCell ref="E19:F19"/>
    <mergeCell ref="E20:F20"/>
    <mergeCell ref="E21:F21"/>
    <mergeCell ref="E22:F22"/>
    <mergeCell ref="L27:P27"/>
    <mergeCell ref="L28:P28"/>
  </mergeCells>
  <drawing r:id="rId1"/>
</worksheet>
</file>